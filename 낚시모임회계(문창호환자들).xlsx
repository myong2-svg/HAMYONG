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자금관리\"/>
    </mc:Choice>
  </mc:AlternateContent>
  <x:bookViews>
    <x:workbookView xWindow="0" yWindow="0" windowWidth="18675" windowHeight="17070"/>
  </x:bookViews>
  <x:sheets>
    <x:sheet name="2026" sheetId="1" r:id="rId4"/>
    <x:sheet name="2025" sheetId="2" r:id="rId5"/>
    <x:sheet name="2024" sheetId="3" r:id="rId6"/>
    <x:sheet name="24.08.30갈치" sheetId="4" r:id="rId7"/>
    <x:sheet name="25.09.27 문어대회" sheetId="5" r:id="rId8"/>
    <x:sheet name="Sheet2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<x:sst xmlns:r="http://schemas.openxmlformats.org/officeDocument/2006/relationships" xmlns:c="http://schemas.openxmlformats.org/drawingml/2006/chart" xmlns:x="http://schemas.openxmlformats.org/spreadsheetml/2006/main" count="207" uniqueCount="85">
  <x:si>
    <x:t xml:space="preserve">최진영 5만, 박순갑10만, 박명준 20만 </x:t>
  </x:si>
  <x:si>
    <x:t>문어비용 9만 11명, 문어독배 88만(김승필), 회식비(9.5만), 횟값(8.55만), 상품(96만)</x:t>
  </x:si>
  <x:si>
    <x:t>9월중복입금으로 10월에 3만원 출금</x:t>
  </x:si>
  <x:si>
    <x:t>손혜경</x:t>
  </x:si>
  <x:si>
    <x:t>서증길</x:t>
  </x:si>
  <x:si>
    <x:t>홍미희</x:t>
  </x:si>
  <x:si>
    <x:t>공태겸</x:t>
  </x:si>
  <x:si>
    <x:t>찬조</x:t>
  </x:si>
  <x:si>
    <x:t>박순갑</x:t>
  </x:si>
  <x:si>
    <x:t>이재서</x:t>
  </x:si>
  <x:si>
    <x:t>김정환</x:t>
  </x:si>
  <x:si>
    <x:t>성명</x:t>
  </x:si>
  <x:si>
    <x:t>김성식</x:t>
  </x:si>
  <x:si>
    <x:t>송서범</x:t>
  </x:si>
  <x:si>
    <x:t>최진영</x:t>
  </x:si>
  <x:si>
    <x:t>정유성</x:t>
  </x:si>
  <x:si>
    <x:t>정하명</x:t>
  </x:si>
  <x:si>
    <x:t>박명준</x:t>
  </x:si>
  <x:si>
    <x:t>송문창</x:t>
  </x:si>
  <x:si>
    <x:t>6월지출-다이와레인슈트지출총금액, 8월 대회상품구매, 9월 상품 1025000, 우의 615300</x:t>
  </x:si>
  <x:si>
    <x:t>미납금</x:t>
  </x:si>
  <x:si>
    <x:t>3월</x:t>
  </x:si>
  <x:si>
    <x:t>박성규</x:t>
  </x:si>
  <x:si>
    <x:t>1ea</x:t>
  </x:si>
  <x:si>
    <x:t>회식</x:t>
  </x:si>
  <x:si>
    <x:t>김철수</x:t>
  </x:si>
  <x:si>
    <x:t>홍길동</x:t>
  </x:si>
  <x:si>
    <x:t>납부액</x:t>
  </x:si>
  <x:si>
    <x:t>6월</x:t>
  </x:si>
  <x:si>
    <x:t>납부</x:t>
  </x:si>
  <x:si>
    <x:t>총금액</x:t>
  </x:si>
  <x:si>
    <x:t>조식</x:t>
  </x:si>
  <x:si>
    <x:t>8월</x:t>
  </x:si>
  <x:si>
    <x:t>지출</x:t>
  </x:si>
  <x:si>
    <x:t>잔금</x:t>
  </x:si>
  <x:si>
    <x:t>2월</x:t>
  </x:si>
  <x:si>
    <x:t>9월</x:t>
  </x:si>
  <x:si>
    <x:t>팬텀2</x:t>
  </x:si>
  <x:si>
    <x:t>G마트</x:t>
  </x:si>
  <x:si>
    <x:t>1월</x:t>
  </x:si>
  <x:si>
    <x:t>완납</x:t>
  </x:si>
  <x:si>
    <x:t>7월</x:t>
  </x:si>
  <x:si>
    <x:t>10월</x:t>
  </x:si>
  <x:si>
    <x:t>팬텀1</x:t>
  </x:si>
  <x:si>
    <x:t>11월</x:t>
  </x:si>
  <x:si>
    <x:t>상품</x:t>
  </x:si>
  <x:si>
    <x:t>12월</x:t>
  </x:si>
  <x:si>
    <x:t>-</x:t>
  </x:si>
  <x:si>
    <x:t>4월</x:t>
  </x:si>
  <x:si>
    <x:t>편육</x:t>
  </x:si>
  <x:si>
    <x:t>탈퇴</x:t>
  </x:si>
  <x:si>
    <x:t>비고</x:t>
  </x:si>
  <x:si>
    <x:t>현금</x:t>
  </x:si>
  <x:si>
    <x:t>회비</x:t>
  </x:si>
  <x:si>
    <x:t>총납부</x:t>
  </x:si>
  <x:si>
    <x:t>미납</x:t>
  </x:si>
  <x:si>
    <x:t>잔액</x:t>
  </x:si>
  <x:si>
    <x:t>5월</x:t>
  </x:si>
  <x:si>
    <x:t>총액</x:t>
  </x:si>
  <x:si>
    <x:t>26년 1월 15만 입금으로 '25년 일괄 소멸(3만원잔액남음, 원래 12만)</x:t>
  </x:si>
  <x:si>
    <x:t>문어비, 회비 다 미납</x:t>
  </x:si>
  <x:si>
    <x:t>쥐포?      1ea</x:t>
  </x:si>
  <x:si>
    <x:t>총 6명</x:t>
  </x:si>
  <x:si>
    <x:t>회비(금액)</x:t>
  </x:si>
  <x:si>
    <x:t>?????</x:t>
  </x:si>
  <x:si>
    <x:t>????</x:t>
  </x:si>
  <x:si>
    <x:t>짱구족발</x:t>
  </x:si>
  <x:si>
    <x:t>족발대자</x:t>
  </x:si>
  <x:si>
    <x:t>중복입금</x:t>
  </x:si>
  <x:si>
    <x:t>사용찬조액</x:t>
  </x:si>
  <x:si>
    <x:t>은행이자</x:t>
  </x:si>
  <x:si>
    <x:t>이월미납</x:t>
  </x:si>
  <x:si>
    <x:t>세이프박스</x:t>
  </x:si>
  <x:si>
    <x:t>7월 2개월회비+최진영회비 납부</x:t>
  </x:si>
  <x:si>
    <x:t>이자(세이프박스+기본)+포인트</x:t>
  </x:si>
  <x:si>
    <x:t>24.08.30.갈치 해광피씽 통영</x:t>
  </x:si>
  <x:si>
    <x:t>사이다캔 12ea</x:t>
  </x:si>
  <x:si>
    <x:t>콜라캔    12ea</x:t>
  </x:si>
  <x:si>
    <x:t>구상회(정명선)</x:t>
  </x:si>
  <x:si>
    <x:t>커피캔    12ea</x:t>
  </x:si>
  <x:si>
    <x:t>게맛살    3ea</x:t>
  </x:si>
  <x:si>
    <x:t>10000원 남음</x:t>
  </x:si>
  <x:si>
    <x:t>박명준(50만), 김성식(10만), 최진영(5만)/박명준(10만), 손혜경부군(10만)</x:t>
  </x:si>
  <x:si>
    <x:t>송문창 385000원 미납, 그중 5만원 음식점비용(10월납부)</x:t>
  </x:si>
  <x:si>
    <x:t>최진영+박순갑 찬조금 지불 비용 납부위해 정하명 계좌이체 필요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</x:si>
</x:sst>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1f1f1f"/>
      <x:b val="1"/>
    </x:font>
    <x:font>
      <x:name val="맑은 고딕"/>
      <x:sz val="11"/>
      <x:color rgb="ff1f1f1f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ebdef1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efefef"/>
        <x:bgColor indexed="64"/>
      </x:patternFill>
    </x:fill>
  </x:fills>
  <x:borders count="19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 style="medium">
        <x:color rgb="ff000000"/>
      </x:right>
      <x:top>
        <x:color indexed="64"/>
      </x:top>
      <x:bottom>
        <x:color indexed="64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1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0" xfId="0" applyNumberFormat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8" xfId="0" applyNumberFormat="1" applyBorder="1" applyAlignment="1">
          <x:alignment horizontal="center" vertical="center"/>
        </x:xf>
      </mc:Fallback>
    </mc:AlternateContent>
    <x:xf numFmtId="42" fontId="0" fillId="0" borderId="5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2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7" xfId="0" applyNumberFormat="1" applyBorder="1" applyAlignment="1">
          <x:alignment horizontal="center" vertical="center"/>
        </x:xf>
      </mc:Fallback>
    </mc:AlternateContent>
    <x:xf numFmtId="6" fontId="0" fillId="0" borderId="9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1" xfId="0" applyBorder="1">
      <x:alignment horizontal="general" vertical="center"/>
    </x:xf>
    <x:xf numFmtId="0" fontId="0" fillId="0" borderId="9" xfId="0" applyBorder="1">
      <x:alignment horizontal="general" vertical="center"/>
    </x:xf>
    <x:xf numFmtId="0" fontId="0" fillId="0" borderId="12" xfId="0" applyBorder="1">
      <x:alignment horizontal="general" vertical="center"/>
    </x:xf>
    <x:xf numFmtId="0" fontId="0" fillId="0" borderId="13" xfId="0" applyBorder="1">
      <x:alignment horizontal="general" vertical="center"/>
    </x:xf>
    <x:xf numFmtId="0" fontId="0" fillId="0" borderId="10" xfId="0" applyBorder="1">
      <x:alignment horizontal="general" vertical="center"/>
    </x:xf>
    <x:xf numFmtId="0" fontId="0" fillId="0" borderId="2" xfId="0" applyBorder="1">
      <x:alignment horizontal="general" vertical="center"/>
    </x:xf>
    <x:xf numFmtId="0" fontId="0" fillId="0" borderId="4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6" fontId="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1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1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3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3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1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1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6" xfId="0" quotePrefix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6" xfId="0" quotePrefix="1" applyNumberFormat="1" applyBorder="1" applyAlignment="1">
          <x:alignment horizontal="center" vertical="center"/>
        </x:xf>
      </mc:Fallback>
    </mc:AlternateContent>
    <x:xf numFmtId="6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6" fontId="0" fillId="4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4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4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4" borderId="6" xfId="0" applyNumberFormat="1" applyFont="1" applyFill="1" applyBorder="1" applyAlignment="1" applyProtection="1">
          <x:alignment horizontal="center" vertical="center"/>
        </x:xf>
      </mc:Fallback>
    </mc:AlternateContent>
    <x:xf numFmtId="42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6" fillId="2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6" fillId="2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6" fillId="2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6" fillId="2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3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3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4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4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4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4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4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4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5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5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5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5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5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5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6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6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6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6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5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5" borderId="0" xfId="0" applyNumberFormat="1" applyFont="1" applyFill="1" applyBorder="1" applyAlignment="1" applyProtection="1">
          <x:alignment horizontal="center" vertical="center"/>
        </x:xf>
      </mc:Fallback>
    </mc:AlternateContent>
    <x:xf numFmtId="6" fontId="0" fillId="0" borderId="8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6" fontId="0" fillId="7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7" borderId="6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8" borderId="15" xfId="0" applyFont="1" applyFill="1" applyBorder="1" applyAlignment="1">
      <x:alignment horizontal="general" vertical="center" wrapText="1"/>
    </x:xf>
    <x:xf numFmtId="0" fontId="8" fillId="0" borderId="15" xfId="0" applyFont="1" applyBorder="1" applyAlignment="1">
      <x:alignment horizontal="general" vertical="center" wrapText="1"/>
    </x:xf>
    <x:xf numFmtId="3" fontId="8" fillId="0" borderId="15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6" fontId="0" fillId="2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1" xfId="0" applyNumberFormat="1" applyFont="1" applyFill="1" applyBorder="1" applyAlignment="1" applyProtection="1">
          <x:alignment horizontal="center" vertical="center"/>
        </x:xf>
      </mc:Fallback>
    </mc:AlternateContent>
    <x:xf numFmtId="42" fontId="0" fillId="0" borderId="9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2" fontId="0" fillId="0" borderId="13" xfId="0" quotePrefix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0" fillId="0" borderId="13" xfId="0" quotePrefix="1" applyNumberFormat="1" applyBorder="1" applyAlignment="1">
          <x:alignment horizontal="center" vertical="center"/>
        </x:xf>
      </mc:Fallback>
    </mc:AlternateContent>
    <x:xf numFmtId="42" fontId="0" fillId="0" borderId="13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6" fontId="0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3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3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3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3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1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dbd609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bff42"/>
            </x:patternFill>
          </x:fill>
        </x:dxf>
      </mc:Choice>
      <mc:Fallback>
        <x:dxf>
          <x:font>
            <x:color rgb="ffdbd609"/>
          </x:font>
          <x:fill>
            <x:patternFill patternType="solid">
              <x:bgColor rgb="fffbff4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shadeColor indexed="64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/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10.xml.rels><?xml version="1.0" encoding="UTF-8" standalone="yes" ?><Relationships xmlns="http://schemas.openxmlformats.org/package/2006/relationships"><Relationship Id="rId1" Type="http://schemas.openxmlformats.org/officeDocument/2006/relationships/image" Target="../media/image10.png"  /></Relationships>
</file>

<file path=xl/drawings/_rels/drawing11.xml.rels><?xml version="1.0" encoding="UTF-8" standalone="yes" ?><Relationships xmlns="http://schemas.openxmlformats.org/package/2006/relationships"><Relationship Id="rId1" Type="http://schemas.openxmlformats.org/officeDocument/2006/relationships/image" Target="../media/image11.png"  /></Relationships>
</file>

<file path=xl/drawings/drawing1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657225</xdr:colOff>
      <xdr:row>12</xdr:row>
      <xdr:rowOff>171449</xdr:rowOff>
    </xdr:from>
    <xdr:to>
      <xdr:col>6</xdr:col>
      <xdr:colOff>352425</xdr:colOff>
      <xdr:row>35</xdr:row>
      <xdr:rowOff>190500</xdr:rowOff>
    </xdr:to>
    <xdr:pic macro="" fPublished="0">
      <xdr:nvPicPr>
        <xdr:cNvPr id="2" name="그림 2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657225" y="2714625"/>
          <a:ext cx="3810000" cy="4838700"/>
        </a:xfrm>
        <a:prstGeom prst="rect">
          <a:avLst/>
        </a:prstGeom>
      </xdr:spPr>
    </xdr:pic>
    <xdr:clientData fLocksWithSheet="1" fPrintsWithSheet="1"/>
  </xdr:twoCellAnchor>
</xdr:wsDr>
</file>

<file path=xl/drawings/drawing1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219075</xdr:colOff>
      <xdr:row>1</xdr:row>
      <xdr:rowOff>66675</xdr:rowOff>
    </xdr:from>
    <xdr:to>
      <xdr:col>18</xdr:col>
      <xdr:colOff>171449</xdr:colOff>
      <xdr:row>22</xdr:row>
      <xdr:rowOff>123824</xdr:rowOff>
    </xdr:to>
    <xdr:pic macro="" fPublished="0">
      <xdr:nvPicPr>
        <xdr:cNvPr id="2" name="그림 2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3648075" y="276225"/>
          <a:ext cx="8867775" cy="445770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0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B1:T45"/>
  <x:sheetViews>
    <x:sheetView tabSelected="1" topLeftCell="A1" zoomScaleNormal="100" zoomScaleSheetLayoutView="75" workbookViewId="0">
      <x:selection activeCell="K18" activeCellId="0" sqref="K18:K18"/>
    </x:sheetView>
  </x:sheetViews>
  <x:sheetFormatPr defaultColWidth="9.00390625" defaultRowHeight="16.399999999999999"/>
  <x:cols>
    <x:col min="2" max="2" width="9.00390625" style="4" bestFit="1" customWidth="1"/>
    <x:col min="3" max="3" width="17.875" style="9" customWidth="1"/>
    <x:col min="4" max="4" width="11.83203125" style="9" bestFit="1" customWidth="1"/>
    <x:col min="5" max="5" width="11.75" style="9" customWidth="1"/>
    <x:col min="6" max="6" width="11.75" style="8" customWidth="1"/>
    <x:col min="7" max="7" width="12.5" style="8" customWidth="1"/>
    <x:col min="8" max="8" width="12.5" style="1" customWidth="1"/>
    <x:col min="9" max="10" width="12.5" style="7" customWidth="1"/>
    <x:col min="11" max="11" width="12.5" style="6" customWidth="1"/>
    <x:col min="12" max="13" width="12.5" style="5" customWidth="1"/>
    <x:col min="14" max="14" width="12.5" style="4" customWidth="1"/>
    <x:col min="15" max="15" width="12.5" style="3" customWidth="1"/>
    <x:col min="16" max="16" width="12.5" style="2" customWidth="1"/>
    <x:col min="17" max="17" width="12.5" style="2" hidden="1" customWidth="1"/>
    <x:col min="18" max="18" width="10.375" style="8" customWidth="1"/>
    <x:col min="19" max="19" width="9.00390625" style="2" bestFit="1" customWidth="1"/>
    <x:col min="20" max="20" width="54.125" style="9" customWidth="1"/>
  </x:cols>
  <x:sheetData>
    <x:row r="1" spans="2:20">
      <x:c r="B1" s="2"/>
      <x:c r="C1" s="2"/>
      <x:c r="D1" s="2">
        <x:v>30000</x:v>
      </x:c>
      <x:c r="E1" s="2">
        <x:v>30000</x:v>
      </x:c>
      <x:c r="F1" s="2">
        <x:v>30000</x:v>
      </x:c>
      <x:c r="G1" s="2">
        <x:v>30000</x:v>
      </x:c>
      <x:c r="I1" s="2">
        <x:v>30000</x:v>
      </x:c>
      <x:c r="J1" s="2">
        <x:v>30000</x:v>
      </x:c>
      <x:c r="K1" s="2">
        <x:v>30000</x:v>
      </x:c>
      <x:c r="L1" s="2">
        <x:v>30000</x:v>
      </x:c>
      <x:c r="M1" s="2">
        <x:v>30000</x:v>
      </x:c>
      <x:c r="N1" s="2">
        <x:v>30000</x:v>
      </x:c>
      <x:c r="O1" s="2">
        <x:v>30000</x:v>
      </x:c>
      <x:c r="P1" s="2">
        <x:v>30000</x:v>
      </x:c>
      <x:c r="R1" s="2"/>
      <x:c r="T1" s="2"/>
    </x:row>
    <x:row r="2" spans="2:20" ht="17.149999999999999">
      <x:c r="B2" s="24"/>
      <x:c r="C2" s="21" t="s">
        <x:v>11</x:v>
      </x:c>
      <x:c r="D2" s="19" t="s">
        <x:v>39</x:v>
      </x:c>
      <x:c r="E2" s="24" t="s">
        <x:v>35</x:v>
      </x:c>
      <x:c r="F2" s="19" t="s">
        <x:v>21</x:v>
      </x:c>
      <x:c r="G2" s="24" t="s">
        <x:v>48</x:v>
      </x:c>
      <x:c r="H2" s="19" t="s">
        <x:v>55</x:v>
      </x:c>
      <x:c r="I2" s="19" t="s">
        <x:v>57</x:v>
      </x:c>
      <x:c r="J2" s="24" t="s">
        <x:v>28</x:v>
      </x:c>
      <x:c r="K2" s="19" t="s">
        <x:v>41</x:v>
      </x:c>
      <x:c r="L2" s="24" t="s">
        <x:v>32</x:v>
      </x:c>
      <x:c r="M2" s="19" t="s">
        <x:v>36</x:v>
      </x:c>
      <x:c r="N2" s="24" t="s">
        <x:v>42</x:v>
      </x:c>
      <x:c r="O2" s="19" t="s">
        <x:v>44</x:v>
      </x:c>
      <x:c r="P2" s="24" t="s">
        <x:v>46</x:v>
      </x:c>
      <x:c r="Q2" s="19" t="s">
        <x:v>71</x:v>
      </x:c>
      <x:c r="R2" s="95" t="s">
        <x:v>55</x:v>
      </x:c>
      <x:c r="S2" s="21" t="s">
        <x:v>54</x:v>
      </x:c>
      <x:c r="T2" s="20" t="s">
        <x:v>51</x:v>
      </x:c>
    </x:row>
    <x:row r="3" spans="2:20" ht="16.75" customHeight="1">
      <x:c r="B3" s="103">
        <x:v>1</x:v>
      </x:c>
      <x:c r="C3" s="93" t="s">
        <x:v>17</x:v>
      </x:c>
      <x:c r="D3" s="88">
        <x:v>30000</x:v>
      </x:c>
      <x:c r="E3" s="100"/>
      <x:c r="F3" s="100"/>
      <x:c r="G3" s="100"/>
      <x:c r="H3" s="100">
        <x:f>120000</x:f>
        <x:v>120000</x:v>
      </x:c>
      <x:c r="I3" s="52"/>
      <x:c r="J3" s="52"/>
      <x:c r="K3" s="52"/>
      <x:c r="L3" s="52"/>
      <x:c r="M3" s="52"/>
      <x:c r="N3" s="52"/>
      <x:c r="O3" s="52"/>
      <x:c r="P3" s="52"/>
      <x:c r="Q3" s="89">
        <x:v>30000</x:v>
      </x:c>
      <x:c r="R3" s="98">
        <x:f ca="1">MAX(0,SUM($D$1:INDEX($D$1:$P$1,MONTH(TODAY())))-SUM(D3:P3))+Q3</x:f>
        <x:v>30000</x:v>
      </x:c>
      <x:c r="S3" s="88">
        <x:f>SUM(D3:P4)</x:f>
        <x:v>150000</x:v>
      </x:c>
      <x:c r="T3" s="90"/>
    </x:row>
    <x:row r="4" spans="2:20" s="2" customFormat="1">
      <x:c r="B4" s="104"/>
      <x:c r="C4" s="94" t="s">
        <x:v>7</x:v>
      </x:c>
      <x:c r="D4" s="63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62"/>
      <x:c r="R4" s="99"/>
      <x:c r="S4" s="63"/>
      <x:c r="T4" s="92"/>
    </x:row>
    <x:row r="5" spans="2:20">
      <x:c r="B5" s="104">
        <x:v>2</x:v>
      </x:c>
      <x:c r="C5" s="94" t="s">
        <x:v>4</x:v>
      </x:c>
      <x:c r="D5" s="63">
        <x:v>30000</x:v>
      </x:c>
      <x:c r="E5" s="48">
        <x:v>30000</x:v>
      </x:c>
      <x:c r="F5" s="51"/>
      <x:c r="G5" s="51"/>
      <x:c r="H5" s="51">
        <x:v>60000</x:v>
      </x:c>
      <x:c r="I5" s="48"/>
      <x:c r="J5" s="48"/>
      <x:c r="K5" s="48"/>
      <x:c r="L5" s="48"/>
      <x:c r="M5" s="48"/>
      <x:c r="N5" s="48"/>
      <x:c r="O5" s="48"/>
      <x:c r="P5" s="48"/>
      <x:c r="Q5" s="62"/>
      <x:c r="R5" s="99">
        <x:f ca="1">MAX(0,SUM($D$1:INDEX($D$1:$P$1,MONTH(TODAY())))-SUM(D5:P5))+Q5</x:f>
        <x:v>0</x:v>
      </x:c>
      <x:c r="S5" s="63">
        <x:f t="shared" ref="S5:S29" si="0">SUM(D5:P5)</x:f>
        <x:v>120000</x:v>
      </x:c>
      <x:c r="T5" s="47"/>
    </x:row>
    <x:row r="6" spans="2:20" s="2" customFormat="1">
      <x:c r="B6" s="104"/>
      <x:c r="C6" s="94" t="s">
        <x:v>7</x:v>
      </x:c>
      <x:c r="D6" s="63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62"/>
      <x:c r="R6" s="99"/>
      <x:c r="S6" s="63"/>
      <x:c r="T6" s="47"/>
    </x:row>
    <x:row r="7" spans="2:20">
      <x:c r="B7" s="104">
        <x:v>3</x:v>
      </x:c>
      <x:c r="C7" s="94" t="s">
        <x:v>12</x:v>
      </x:c>
      <x:c r="D7" s="63">
        <x:v>30000</x:v>
      </x:c>
      <x:c r="E7" s="48">
        <x:v>30000</x:v>
      </x:c>
      <x:c r="F7" s="48">
        <x:v>30000</x:v>
      </x:c>
      <x:c r="G7" s="48">
        <x:v>30000</x:v>
      </x:c>
      <x:c r="H7" s="48"/>
      <x:c r="I7" s="48"/>
      <x:c r="J7" s="48"/>
      <x:c r="K7" s="48"/>
      <x:c r="L7" s="48"/>
      <x:c r="M7" s="48"/>
      <x:c r="N7" s="48"/>
      <x:c r="O7" s="48"/>
      <x:c r="P7" s="48"/>
      <x:c r="Q7" s="62"/>
      <x:c r="R7" s="99">
        <x:f ca="1">MAX(0,SUM($D$1:INDEX($D$1:$P$1,MONTH(TODAY())))-SUM(D7:P7))+Q7</x:f>
        <x:v>0</x:v>
      </x:c>
      <x:c r="S7" s="63">
        <x:f t="shared" si="0"/>
        <x:v>120000</x:v>
      </x:c>
      <x:c r="T7" s="47"/>
    </x:row>
    <x:row r="8" spans="2:20" s="2" customFormat="1">
      <x:c r="B8" s="104"/>
      <x:c r="C8" s="94" t="s">
        <x:v>7</x:v>
      </x:c>
      <x:c r="D8" s="63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62"/>
      <x:c r="R8" s="99"/>
      <x:c r="S8" s="63"/>
      <x:c r="T8" s="47"/>
    </x:row>
    <x:row r="9" spans="2:20">
      <x:c r="B9" s="104">
        <x:v>4</x:v>
      </x:c>
      <x:c r="C9" s="94" t="s">
        <x:v>3</x:v>
      </x:c>
      <x:c r="D9" s="63">
        <x:v>180000</x:v>
      </x:c>
      <x:c r="E9" s="77"/>
      <x:c r="F9" s="77"/>
      <x:c r="G9" s="77"/>
      <x:c r="H9" s="77"/>
      <x:c r="I9" s="77"/>
      <x:c r="J9" s="77"/>
      <x:c r="K9" s="48"/>
      <x:c r="L9" s="48"/>
      <x:c r="M9" s="48"/>
      <x:c r="N9" s="48"/>
      <x:c r="O9" s="48"/>
      <x:c r="P9" s="48"/>
      <x:c r="Q9" s="62"/>
      <x:c r="R9" s="99">
        <x:f ca="1">MAX(0,SUM($D$1:INDEX($D$1:$P$1,MONTH(TODAY())))-SUM(D9:P9))+Q9</x:f>
        <x:v>0</x:v>
      </x:c>
      <x:c r="S9" s="63">
        <x:f t="shared" si="0"/>
        <x:v>180000</x:v>
      </x:c>
      <x:c r="T9" s="47"/>
    </x:row>
    <x:row r="10" spans="2:20" s="2" customFormat="1">
      <x:c r="B10" s="104"/>
      <x:c r="C10" s="94" t="s">
        <x:v>7</x:v>
      </x:c>
      <x:c r="D10" s="63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62"/>
      <x:c r="R10" s="99"/>
      <x:c r="S10" s="63"/>
      <x:c r="T10" s="47"/>
    </x:row>
    <x:row r="11" spans="2:20">
      <x:c r="B11" s="104">
        <x:v>5</x:v>
      </x:c>
      <x:c r="C11" s="94" t="s">
        <x:v>22</x:v>
      </x:c>
      <x:c r="D11" s="72"/>
      <x:c r="E11" s="51"/>
      <x:c r="F11" s="51"/>
      <x:c r="G11" s="51"/>
      <x:c r="H11" s="51">
        <x:f>150000</x:f>
        <x:v>150000</x:v>
      </x:c>
      <x:c r="I11" s="48"/>
      <x:c r="J11" s="48"/>
      <x:c r="K11" s="48"/>
      <x:c r="L11" s="48"/>
      <x:c r="M11" s="48"/>
      <x:c r="N11" s="48"/>
      <x:c r="O11" s="48"/>
      <x:c r="P11" s="48"/>
      <x:c r="Q11" s="62">
        <x:v>30000</x:v>
      </x:c>
      <x:c r="R11" s="99">
        <x:f ca="1">MAX(0,SUM($D$1:INDEX($D$1:$P$1,MONTH(TODAY())))-SUM(D11:P11))+Q11</x:f>
        <x:v>30000</x:v>
      </x:c>
      <x:c r="S11" s="63">
        <x:f t="shared" si="0"/>
        <x:v>150000</x:v>
      </x:c>
      <x:c r="T11" s="47"/>
    </x:row>
    <x:row r="12" spans="2:20" s="2" customFormat="1">
      <x:c r="B12" s="104"/>
      <x:c r="C12" s="94" t="s">
        <x:v>7</x:v>
      </x:c>
      <x:c r="D12" s="63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62"/>
      <x:c r="R12" s="99"/>
      <x:c r="S12" s="63"/>
      <x:c r="T12" s="47"/>
    </x:row>
    <x:row r="13" spans="2:20">
      <x:c r="B13" s="104">
        <x:v>6</x:v>
      </x:c>
      <x:c r="C13" s="94" t="s">
        <x:v>5</x:v>
      </x:c>
      <x:c r="D13" s="63">
        <x:v>30000</x:v>
      </x:c>
      <x:c r="E13" s="48">
        <x:v>30000</x:v>
      </x:c>
      <x:c r="F13" s="48">
        <x:v>30000</x:v>
      </x:c>
      <x:c r="G13" s="48">
        <x:v>30000</x:v>
      </x:c>
      <x:c r="H13" s="48"/>
      <x:c r="I13" s="48"/>
      <x:c r="J13" s="48"/>
      <x:c r="K13" s="48"/>
      <x:c r="L13" s="48"/>
      <x:c r="M13" s="48"/>
      <x:c r="N13" s="48"/>
      <x:c r="O13" s="48"/>
      <x:c r="P13" s="48"/>
      <x:c r="Q13" s="62"/>
      <x:c r="R13" s="99">
        <x:f ca="1">MAX(0,SUM($D$1:INDEX($D$1:$P$1,MONTH(TODAY())))-SUM(D13:P13))+Q13</x:f>
        <x:v>0</x:v>
      </x:c>
      <x:c r="S13" s="63">
        <x:f t="shared" si="0"/>
        <x:v>120000</x:v>
      </x:c>
      <x:c r="T13" s="47"/>
    </x:row>
    <x:row r="14" spans="2:20" s="2" customFormat="1">
      <x:c r="B14" s="104"/>
      <x:c r="C14" s="94" t="s">
        <x:v>7</x:v>
      </x:c>
      <x:c r="D14" s="63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62"/>
      <x:c r="R14" s="99"/>
      <x:c r="S14" s="63"/>
      <x:c r="T14" s="47"/>
    </x:row>
    <x:row r="15" spans="2:20">
      <x:c r="B15" s="104">
        <x:v>7</x:v>
      </x:c>
      <x:c r="C15" s="94" t="s">
        <x:v>18</x:v>
      </x:c>
      <x:c r="D15" s="79"/>
      <x:c r="E15" s="77"/>
      <x:c r="F15" s="77"/>
      <x:c r="G15" s="48">
        <x:v>150000</x:v>
      </x:c>
      <x:c r="H15" s="48"/>
      <x:c r="I15" s="77"/>
      <x:c r="J15" s="48"/>
      <x:c r="K15" s="48"/>
      <x:c r="L15" s="48"/>
      <x:c r="M15" s="48"/>
      <x:c r="N15" s="48"/>
      <x:c r="O15" s="48"/>
      <x:c r="P15" s="48"/>
      <x:c r="Q15" s="62"/>
      <x:c r="R15" s="99">
        <x:f ca="1">MAX(0,SUM($D$1:INDEX($D$1:$P$1,MONTH(TODAY())))-SUM(D15:P15))+Q15</x:f>
        <x:v>0</x:v>
      </x:c>
      <x:c r="S15" s="63">
        <x:f t="shared" si="0"/>
        <x:v>150000</x:v>
      </x:c>
      <x:c r="T15" s="91"/>
    </x:row>
    <x:row r="16" spans="2:20" s="2" customFormat="1">
      <x:c r="B16" s="104"/>
      <x:c r="C16" s="94" t="s">
        <x:v>7</x:v>
      </x:c>
      <x:c r="D16" s="63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62"/>
      <x:c r="R16" s="99"/>
      <x:c r="S16" s="63"/>
      <x:c r="T16" s="91"/>
    </x:row>
    <x:row r="17" spans="2:20">
      <x:c r="B17" s="104">
        <x:v>8</x:v>
      </x:c>
      <x:c r="C17" s="94" t="s">
        <x:v>6</x:v>
      </x:c>
      <x:c r="D17" s="63">
        <x:v>30000</x:v>
      </x:c>
      <x:c r="E17" s="48">
        <x:v>30000</x:v>
      </x:c>
      <x:c r="F17" s="48">
        <x:v>30000</x:v>
      </x:c>
      <x:c r="G17" s="48">
        <x:v>30000</x:v>
      </x:c>
      <x:c r="H17" s="48"/>
      <x:c r="I17" s="48"/>
      <x:c r="J17" s="48"/>
      <x:c r="K17" s="48"/>
      <x:c r="L17" s="48"/>
      <x:c r="M17" s="48"/>
      <x:c r="N17" s="48"/>
      <x:c r="O17" s="48"/>
      <x:c r="P17" s="48"/>
      <x:c r="Q17" s="62"/>
      <x:c r="R17" s="99">
        <x:f ca="1">MAX(0,SUM($D$1:INDEX($D$1:$P$1,MONTH(TODAY())))-SUM(D17:P17))+Q17</x:f>
        <x:v>0</x:v>
      </x:c>
      <x:c r="S17" s="63">
        <x:f t="shared" si="0"/>
        <x:v>120000</x:v>
      </x:c>
      <x:c r="T17" s="47"/>
    </x:row>
    <x:row r="18" spans="2:20" s="2" customFormat="1">
      <x:c r="B18" s="104"/>
      <x:c r="C18" s="94" t="s">
        <x:v>7</x:v>
      </x:c>
      <x:c r="D18" s="63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62"/>
      <x:c r="R18" s="99"/>
      <x:c r="S18" s="63"/>
      <x:c r="T18" s="47"/>
    </x:row>
    <x:row r="19" spans="2:20">
      <x:c r="B19" s="104">
        <x:v>9</x:v>
      </x:c>
      <x:c r="C19" s="94" t="s">
        <x:v>9</x:v>
      </x:c>
      <x:c r="D19" s="63">
        <x:v>30000</x:v>
      </x:c>
      <x:c r="E19" s="48">
        <x:v>30000</x:v>
      </x:c>
      <x:c r="F19" s="48">
        <x:v>60000</x:v>
      </x:c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62"/>
      <x:c r="R19" s="99">
        <x:f ca="1">MAX(0,SUM($D$1:INDEX($D$1:$P$1,MONTH(TODAY())))-SUM(D19:P19))+Q19</x:f>
        <x:v>0</x:v>
      </x:c>
      <x:c r="S19" s="63">
        <x:f t="shared" si="0"/>
        <x:v>120000</x:v>
      </x:c>
      <x:c r="T19" s="47"/>
    </x:row>
    <x:row r="20" spans="2:20" s="2" customFormat="1">
      <x:c r="B20" s="104"/>
      <x:c r="C20" s="94" t="s">
        <x:v>7</x:v>
      </x:c>
      <x:c r="D20" s="63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62"/>
      <x:c r="R20" s="99"/>
      <x:c r="S20" s="63"/>
      <x:c r="T20" s="47"/>
    </x:row>
    <x:row r="21" spans="2:20">
      <x:c r="B21" s="104">
        <x:v>10</x:v>
      </x:c>
      <x:c r="C21" s="94" t="s">
        <x:v>13</x:v>
      </x:c>
      <x:c r="D21" s="63">
        <x:v>30000</x:v>
      </x:c>
      <x:c r="E21" s="48">
        <x:v>30000</x:v>
      </x:c>
      <x:c r="F21" s="51"/>
      <x:c r="G21" s="48">
        <x:v>30000</x:v>
      </x:c>
      <x:c r="H21" s="48">
        <x:v>30000</x:v>
      </x:c>
      <x:c r="I21" s="48"/>
      <x:c r="J21" s="48"/>
      <x:c r="K21" s="48"/>
      <x:c r="L21" s="48"/>
      <x:c r="M21" s="48"/>
      <x:c r="N21" s="48"/>
      <x:c r="O21" s="48"/>
      <x:c r="P21" s="48"/>
      <x:c r="Q21" s="62"/>
      <x:c r="R21" s="99">
        <x:f ca="1">MAX(0,SUM($D$1:INDEX($D$1:$P$1,MONTH(TODAY())))-SUM(D21:P21))+Q21</x:f>
        <x:v>0</x:v>
      </x:c>
      <x:c r="S21" s="63">
        <x:f t="shared" si="0"/>
        <x:v>120000</x:v>
      </x:c>
      <x:c r="T21" s="47"/>
    </x:row>
    <x:row r="22" spans="2:20" s="2" customFormat="1">
      <x:c r="B22" s="104"/>
      <x:c r="C22" s="94" t="s">
        <x:v>7</x:v>
      </x:c>
      <x:c r="D22" s="63"/>
      <x:c r="E22" s="48"/>
      <x:c r="F22" s="62"/>
      <x:c r="G22" s="48"/>
      <x:c r="H22" s="48"/>
      <x:c r="I22" s="48"/>
      <x:c r="J22" s="48"/>
      <x:c r="K22" s="63"/>
      <x:c r="L22" s="63"/>
      <x:c r="M22" s="63"/>
      <x:c r="N22" s="63"/>
      <x:c r="O22" s="63"/>
      <x:c r="P22" s="63"/>
      <x:c r="Q22" s="55"/>
      <x:c r="R22" s="99"/>
      <x:c r="S22" s="63"/>
      <x:c r="T22" s="47"/>
    </x:row>
    <x:row r="23" spans="2:20">
      <x:c r="B23" s="104">
        <x:v>11</x:v>
      </x:c>
      <x:c r="C23" s="94" t="s">
        <x:v>16</x:v>
      </x:c>
      <x:c r="D23" s="63">
        <x:v>30000</x:v>
      </x:c>
      <x:c r="E23" s="48">
        <x:v>30000</x:v>
      </x:c>
      <x:c r="F23" s="62">
        <x:v>30000</x:v>
      </x:c>
      <x:c r="G23" s="48">
        <x:v>30000</x:v>
      </x:c>
      <x:c r="H23" s="48"/>
      <x:c r="I23" s="48"/>
      <x:c r="J23" s="48"/>
      <x:c r="K23" s="63"/>
      <x:c r="L23" s="63"/>
      <x:c r="M23" s="63"/>
      <x:c r="N23" s="63"/>
      <x:c r="O23" s="63"/>
      <x:c r="P23" s="63"/>
      <x:c r="Q23" s="55"/>
      <x:c r="R23" s="99">
        <x:f ca="1">MAX(0,SUM($D$1:INDEX($D$1:$P$1,MONTH(TODAY())))-SUM(D23:P23))+Q23</x:f>
        <x:v>0</x:v>
      </x:c>
      <x:c r="S23" s="63">
        <x:f t="shared" si="0"/>
        <x:v>120000</x:v>
      </x:c>
      <x:c r="T23" s="47"/>
    </x:row>
    <x:row r="24" spans="2:20" s="2" customFormat="1">
      <x:c r="B24" s="104"/>
      <x:c r="C24" s="94" t="s">
        <x:v>7</x:v>
      </x:c>
      <x:c r="D24" s="63"/>
      <x:c r="E24" s="48"/>
      <x:c r="F24" s="62"/>
      <x:c r="G24" s="48"/>
      <x:c r="H24" s="63"/>
      <x:c r="I24" s="63"/>
      <x:c r="J24" s="63"/>
      <x:c r="K24" s="63"/>
      <x:c r="L24" s="63"/>
      <x:c r="M24" s="63"/>
      <x:c r="N24" s="63"/>
      <x:c r="O24" s="63"/>
      <x:c r="P24" s="63"/>
      <x:c r="Q24" s="55"/>
      <x:c r="R24" s="99"/>
      <x:c r="S24" s="63"/>
      <x:c r="T24" s="47"/>
    </x:row>
    <x:row r="25" spans="2:20">
      <x:c r="B25" s="104">
        <x:v>12</x:v>
      </x:c>
      <x:c r="C25" s="94" t="s">
        <x:v>14</x:v>
      </x:c>
      <x:c r="D25" s="63">
        <x:v>30000</x:v>
      </x:c>
      <x:c r="E25" s="48">
        <x:v>30000</x:v>
      </x:c>
      <x:c r="F25" s="62">
        <x:v>30000</x:v>
      </x:c>
      <x:c r="G25" s="48">
        <x:v>30000</x:v>
      </x:c>
      <x:c r="H25" s="63"/>
      <x:c r="I25" s="63"/>
      <x:c r="J25" s="63"/>
      <x:c r="K25" s="63"/>
      <x:c r="L25" s="63"/>
      <x:c r="M25" s="63"/>
      <x:c r="N25" s="63"/>
      <x:c r="O25" s="63"/>
      <x:c r="P25" s="63"/>
      <x:c r="Q25" s="55"/>
      <x:c r="R25" s="99">
        <x:f ca="1">MAX(0,SUM($D$1:INDEX($D$1:$P$1,MONTH(TODAY())))-SUM(D25:P25))+Q25</x:f>
        <x:v>0</x:v>
      </x:c>
      <x:c r="S25" s="63">
        <x:f t="shared" si="0"/>
        <x:v>120000</x:v>
      </x:c>
      <x:c r="T25" s="47"/>
    </x:row>
    <x:row r="26" spans="2:20" s="2" customFormat="1">
      <x:c r="B26" s="104"/>
      <x:c r="C26" s="94" t="s">
        <x:v>7</x:v>
      </x:c>
      <x:c r="D26" s="63"/>
      <x:c r="E26" s="48"/>
      <x:c r="F26" s="62"/>
      <x:c r="G26" s="48"/>
      <x:c r="H26" s="63"/>
      <x:c r="I26" s="63"/>
      <x:c r="J26" s="63"/>
      <x:c r="K26" s="63"/>
      <x:c r="L26" s="63"/>
      <x:c r="M26" s="63"/>
      <x:c r="N26" s="63"/>
      <x:c r="O26" s="63"/>
      <x:c r="P26" s="63"/>
      <x:c r="Q26" s="55"/>
      <x:c r="R26" s="99"/>
      <x:c r="S26" s="63"/>
      <x:c r="T26" s="47"/>
    </x:row>
    <x:row r="27" spans="2:20">
      <x:c r="B27" s="104">
        <x:v>13</x:v>
      </x:c>
      <x:c r="C27" s="94" t="s">
        <x:v>10</x:v>
      </x:c>
      <x:c r="D27" s="63">
        <x:v>30000</x:v>
      </x:c>
      <x:c r="E27" s="51"/>
      <x:c r="F27" s="101"/>
      <x:c r="G27" s="51"/>
      <x:c r="H27" s="51">
        <x:v>210000</x:v>
      </x:c>
      <x:c r="I27" s="48"/>
      <x:c r="J27" s="63"/>
      <x:c r="K27" s="63"/>
      <x:c r="L27" s="63"/>
      <x:c r="M27" s="63"/>
      <x:c r="N27" s="63"/>
      <x:c r="O27" s="63"/>
      <x:c r="P27" s="63"/>
      <x:c r="Q27" s="55"/>
      <x:c r="R27" s="99">
        <x:f ca="1">MAX(0,SUM($D$1:INDEX($D$1:$P$1,MONTH(TODAY())))-SUM(D27:P27))+Q27</x:f>
        <x:v>0</x:v>
      </x:c>
      <x:c r="S27" s="63">
        <x:f t="shared" si="0"/>
        <x:v>240000</x:v>
      </x:c>
      <x:c r="T27" s="47"/>
    </x:row>
    <x:row r="28" spans="2:20" s="2" customFormat="1">
      <x:c r="B28" s="104"/>
      <x:c r="C28" s="94" t="s">
        <x:v>7</x:v>
      </x:c>
      <x:c r="D28" s="63"/>
      <x:c r="E28" s="48"/>
      <x:c r="F28" s="62"/>
      <x:c r="G28" s="48"/>
      <x:c r="H28" s="63"/>
      <x:c r="I28" s="63"/>
      <x:c r="J28" s="63"/>
      <x:c r="K28" s="63"/>
      <x:c r="L28" s="63"/>
      <x:c r="M28" s="63"/>
      <x:c r="N28" s="63"/>
      <x:c r="O28" s="63"/>
      <x:c r="P28" s="63"/>
      <x:c r="Q28" s="55"/>
      <x:c r="R28" s="99"/>
      <x:c r="S28" s="63"/>
      <x:c r="T28" s="47"/>
    </x:row>
    <x:row r="29" spans="2:20">
      <x:c r="B29" s="104">
        <x:v>14</x:v>
      </x:c>
      <x:c r="C29" s="94" t="s">
        <x:v>15</x:v>
      </x:c>
      <x:c r="D29" s="63">
        <x:v>150000</x:v>
      </x:c>
      <x:c r="E29" s="51"/>
      <x:c r="F29" s="101"/>
      <x:c r="G29" s="51"/>
      <x:c r="H29" s="72">
        <x:v>90000</x:v>
      </x:c>
      <x:c r="I29" s="63"/>
      <x:c r="J29" s="63"/>
      <x:c r="K29" s="63"/>
      <x:c r="L29" s="63"/>
      <x:c r="M29" s="63"/>
      <x:c r="N29" s="63"/>
      <x:c r="O29" s="63"/>
      <x:c r="P29" s="63"/>
      <x:c r="Q29" s="55">
        <x:v>120000</x:v>
      </x:c>
      <x:c r="R29" s="99">
        <x:f ca="1">MAX(0,SUM($D$1:INDEX($D$1:$P$1,MONTH(TODAY())))-SUM(D29:P29))+Q29</x:f>
        <x:v>120000</x:v>
      </x:c>
      <x:c r="S29" s="63">
        <x:f t="shared" si="0"/>
        <x:v>240000</x:v>
      </x:c>
      <x:c r="T29" s="47"/>
    </x:row>
    <x:row r="30" spans="2:20" s="2" customFormat="1">
      <x:c r="B30" s="104"/>
      <x:c r="C30" s="94" t="s">
        <x:v>7</x:v>
      </x:c>
      <x:c r="D30" s="63"/>
      <x:c r="E30" s="48"/>
      <x:c r="F30" s="55"/>
      <x:c r="G30" s="48"/>
      <x:c r="H30" s="63"/>
      <x:c r="I30" s="63"/>
      <x:c r="J30" s="63"/>
      <x:c r="K30" s="63"/>
      <x:c r="L30" s="63"/>
      <x:c r="M30" s="63"/>
      <x:c r="N30" s="63"/>
      <x:c r="O30" s="63"/>
      <x:c r="P30" s="63"/>
      <x:c r="Q30" s="55"/>
      <x:c r="R30" s="99"/>
      <x:c r="S30" s="63"/>
      <x:c r="T30" s="47"/>
    </x:row>
    <x:row r="31" spans="2:20" ht="17.149999999999999">
      <x:c r="B31" s="18">
        <x:v>15</x:v>
      </x:c>
      <x:c r="C31" s="96" t="s">
        <x:v>33</x:v>
      </x:c>
      <x:c r="D31" s="58"/>
      <x:c r="E31" s="57"/>
      <x:c r="F31" s="58"/>
      <x:c r="G31" s="97">
        <x:v>-605000</x:v>
      </x:c>
      <x:c r="H31" s="55"/>
      <x:c r="I31" s="59"/>
      <x:c r="J31" s="57"/>
      <x:c r="K31" s="59"/>
      <x:c r="L31" s="59"/>
      <x:c r="M31" s="59"/>
      <x:c r="N31" s="59"/>
      <x:c r="O31" s="59"/>
      <x:c r="P31" s="59"/>
      <x:c r="Q31" s="59"/>
      <x:c r="R31" s="50"/>
      <x:c r="S31" s="97"/>
      <x:c r="T31" s="29"/>
    </x:row>
    <x:row r="32" spans="2:20" ht="17.149999999999999">
      <x:c r="B32" s="27">
        <x:v>16</x:v>
      </x:c>
      <x:c r="C32" s="46" t="s">
        <x:v>70</x:v>
      </x:c>
      <x:c r="D32" s="60">
        <x:v>29</x:v>
      </x:c>
      <x:c r="E32" s="43">
        <x:v>23</x:v>
      </x:c>
      <x:c r="F32" s="61">
        <x:v>39</x:v>
      </x:c>
      <x:c r="G32" s="49">
        <x:v>50</x:v>
      </x:c>
      <x:c r="H32" s="49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49"/>
      <x:c r="T32" s="29"/>
    </x:row>
    <x:row r="33" spans="2:20" ht="17.149999999999999">
      <x:c r="B33" s="27">
        <x:v>17</x:v>
      </x:c>
      <x:c r="C33" s="46" t="s">
        <x:v>7</x:v>
      </x:c>
      <x:c r="D33" s="60">
        <x:f>D4+D6+D8+D10+D12+D14+D16+D18+D20+D22+D24+D26+D28+D30</x:f>
        <x:v>0</x:v>
      </x:c>
      <x:c r="E33" s="46"/>
      <x:c r="F33" s="61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29"/>
    </x:row>
    <x:row r="34" spans="2:20" s="1" customFormat="1" ht="17.149999999999999">
      <x:c r="B34" s="27">
        <x:v>18</x:v>
      </x:c>
      <x:c r="C34" s="46" t="s">
        <x:v>72</x:v>
      </x:c>
      <x:c r="D34" s="60">
        <x:v>2282139</x:v>
      </x:c>
      <x:c r="E34" s="60">
        <x:v>2282139</x:v>
      </x:c>
      <x:c r="F34" s="60">
        <x:v>2282139</x:v>
      </x:c>
      <x:c r="G34" s="60">
        <x:v>2282139</x:v>
      </x:c>
      <x:c r="H34" s="60"/>
      <x:c r="I34" s="56"/>
      <x:c r="J34" s="56"/>
      <x:c r="K34" s="102"/>
      <x:c r="L34" s="102"/>
      <x:c r="M34" s="102"/>
      <x:c r="N34" s="102"/>
      <x:c r="O34" s="102"/>
      <x:c r="P34" s="102"/>
      <x:c r="Q34" s="102"/>
      <x:c r="R34" s="57"/>
      <x:c r="S34" s="57"/>
      <x:c r="T34" s="29"/>
    </x:row>
    <x:row r="35" spans="2:20" s="1" customFormat="1" ht="17.149999999999999">
      <x:c r="B35" s="27">
        <x:v>19</x:v>
      </x:c>
      <x:c r="C35" s="46" t="s">
        <x:v>56</x:v>
      </x:c>
      <x:c r="D35" s="60">
        <x:f>D3+D5+D7+D9+D11+D13+D15+D17+D19+D21+D23+D25+D27+D29-509859</x:f>
        <x:v>120141</x:v>
      </x:c>
      <x:c r="E35" s="60">
        <x:f>D35+E3+E5+E7+E9+E11+E13+E15+E17+E19+E21+E23+E25+E27+E29</x:f>
        <x:v>360141</x:v>
      </x:c>
      <x:c r="F35" s="60">
        <x:f>E35+F3+F5+F7+F9+F11+F13+F15+F17+F19+F21+F23+F25+F27+F29</x:f>
        <x:v>570141</x:v>
      </x:c>
      <x:c r="G35" s="60">
        <x:f>F35+G3+G5+G7+G9+G11+G13+G15+G17+G19+G21+G23+G25+G27+G29+G31</x:f>
        <x:v>295141</x:v>
      </x:c>
      <x:c r="H35" s="60"/>
      <x:c r="I35" s="56"/>
      <x:c r="J35" s="56"/>
      <x:c r="K35" s="102"/>
      <x:c r="L35" s="102"/>
      <x:c r="M35" s="102"/>
      <x:c r="N35" s="102"/>
      <x:c r="O35" s="102"/>
      <x:c r="P35" s="102"/>
      <x:c r="Q35" s="102"/>
      <x:c r="R35" s="57"/>
      <x:c r="S35" s="57"/>
      <x:c r="T35" s="29"/>
    </x:row>
    <x:row r="36" spans="2:20" ht="17.149999999999999">
      <x:c r="B36" s="27">
        <x:v>20</x:v>
      </x:c>
      <x:c r="C36" s="24" t="s">
        <x:v>58</x:v>
      </x:c>
      <x:c r="D36" s="26">
        <x:f>2210898</x:f>
        <x:v>2210898</x:v>
      </x:c>
      <x:c r="E36" s="26">
        <x:f>E34+E35</x:f>
        <x:v>2642280</x:v>
      </x:c>
      <x:c r="F36" s="26">
        <x:f>F34+F35</x:f>
        <x:v>2852280</x:v>
      </x:c>
      <x:c r="G36" s="26">
        <x:f>G34+G35</x:f>
        <x:v>2577280</x:v>
      </x:c>
      <x:c r="H36" s="26"/>
      <x:c r="I36" s="26"/>
      <x:c r="J36" s="26"/>
      <x:c r="K36" s="73"/>
      <x:c r="L36" s="73"/>
      <x:c r="M36" s="73"/>
      <x:c r="N36" s="73"/>
      <x:c r="O36" s="73"/>
      <x:c r="P36" s="73"/>
      <x:c r="Q36" s="73"/>
      <x:c r="R36" s="83" t="e">
        <x:f>SUM(R3,R5,R7,R9,R11,R13,R15,R17,R19,R21,R23,R25,R27,R29,#REF!)</x:f>
        <x:v>#REF!</x:v>
      </x:c>
      <x:c r="S36" s="30"/>
      <x:c r="T36" s="20"/>
    </x:row>
    <x:row r="37" spans="5:18">
      <x:c r="E37" s="65"/>
      <x:c r="N37" s="68"/>
      <x:c r="R37" s="3"/>
    </x:row>
    <x:row r="38" spans="10:17">
      <x:c r="J38" s="68"/>
      <x:c r="K38" s="68"/>
      <x:c r="L38" s="68"/>
      <x:c r="M38" s="68"/>
      <x:c r="N38" s="68"/>
      <x:c r="O38" s="68"/>
      <x:c r="P38" s="68"/>
      <x:c r="Q38" s="68"/>
    </x:row>
    <x:row r="39" spans="7:17"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</x:row>
    <x:row r="40" spans="10:17">
      <x:c r="J40" s="68"/>
      <x:c r="M40" s="68"/>
      <x:c r="N40" s="68"/>
      <x:c r="O40" s="68"/>
      <x:c r="P40" s="68"/>
      <x:c r="Q40" s="68"/>
    </x:row>
    <x:row r="41" spans="9:9">
      <x:c r="I41" s="65"/>
    </x:row>
    <x:row r="42" spans="4:8">
      <x:c r="D42" s="68"/>
      <x:c r="G42" s="65"/>
      <x:c r="H42" s="65"/>
    </x:row>
    <x:row r="43" spans="9:10">
      <x:c r="I43" s="65"/>
      <x:c r="J43" s="68"/>
    </x:row>
    <x:row r="45" spans="12:17">
      <x:c r="L45" s="68"/>
      <x:c r="N45" s="65"/>
      <x:c r="O45" s="65"/>
      <x:c r="P45" s="65"/>
      <x:c r="Q45" s="65"/>
    </x:row>
  </x:sheetData>
  <x:mergeCells count="14">
    <x:mergeCell ref="B3:B4"/>
    <x:mergeCell ref="B5:B6"/>
    <x:mergeCell ref="B7:B8"/>
    <x:mergeCell ref="B9:B10"/>
    <x:mergeCell ref="B11:B12"/>
    <x:mergeCell ref="B13:B14"/>
    <x:mergeCell ref="B15:B16"/>
    <x:mergeCell ref="B17:B18"/>
    <x:mergeCell ref="B19:B20"/>
    <x:mergeCell ref="B21:B22"/>
    <x:mergeCell ref="B23:B24"/>
    <x:mergeCell ref="B25:B26"/>
    <x:mergeCell ref="B27:B28"/>
    <x:mergeCell ref="B29:B30"/>
  </x:mergeCells>
  <x:conditionalFormatting sqref="R3:R30">
    <x:cfRule type="cellIs" dxfId="12" priority="4" operator="greaterThan">
      <x:formula>0</x:formula>
    </x:cfRule>
  </x:conditionalFormatting>
  <x:conditionalFormatting sqref="D3:P3 D5:P5 E7:P7 D9:P9 D11:P11 D13:P13 D15:P17 D19:P19 D21:P21 D23:P23 D25:P25 D27:P27 D29:P29">
    <x:cfRule type="cellIs" dxfId="13" priority="3" operator="between">
      <x:formula>"-"</x:formula>
      <x:formula>"-"</x:formula>
    </x:cfRule>
  </x:conditionalFormatting>
  <x:conditionalFormatting sqref="R3:R30">
    <x:cfRule type="cellIs" dxfId="12" priority="2" operator="greaterThan">
      <x:formula>0</x:formula>
    </x:cfRule>
  </x:conditionalFormatting>
  <x:conditionalFormatting sqref="D7:D7">
    <x:cfRule type="cellIs" dxfId="13" priority="1" operator="between">
      <x:formula>"-"</x:formula>
      <x:formula>"-"</x:formula>
    </x:cfRule>
  </x:conditionalFormatting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R31"/>
  <x:sheetViews>
    <x:sheetView topLeftCell="J1" zoomScaleNormal="100" zoomScaleSheetLayoutView="75" workbookViewId="0">
      <x:selection activeCell="O24" activeCellId="0" sqref="O24:O24"/>
    </x:sheetView>
  </x:sheetViews>
  <x:sheetFormatPr defaultColWidth="9.00390625" defaultRowHeight="16.399999999999999"/>
  <x:cols>
    <x:col min="2" max="2" width="9.00390625" style="4" bestFit="1" customWidth="1"/>
    <x:col min="3" max="3" width="17.875" style="9" customWidth="1"/>
    <x:col min="4" max="4" width="11.83203125" style="9" bestFit="1" customWidth="1"/>
    <x:col min="5" max="5" width="11.75" style="9" customWidth="1"/>
    <x:col min="6" max="6" width="11.75" style="8" customWidth="1"/>
    <x:col min="7" max="7" width="12.5" style="8" customWidth="1"/>
    <x:col min="8" max="9" width="12.5" style="7" customWidth="1"/>
    <x:col min="10" max="10" width="12.5" style="6" customWidth="1"/>
    <x:col min="11" max="12" width="12.5" style="5" customWidth="1"/>
    <x:col min="13" max="13" width="12.5" style="4" customWidth="1"/>
    <x:col min="14" max="14" width="12.5" style="3" customWidth="1"/>
    <x:col min="15" max="15" width="12.5" style="2" customWidth="1"/>
    <x:col min="16" max="16" width="10.375" style="8" customWidth="1"/>
    <x:col min="18" max="18" width="54.125" style="9" customWidth="1"/>
  </x:cols>
  <x:sheetData>
    <x:row r="2" spans="2:18" ht="17.149999999999999">
      <x:c r="B2" s="18"/>
      <x:c r="C2" s="24" t="s">
        <x:v>11</x:v>
      </x:c>
      <x:c r="D2" s="19" t="s">
        <x:v>39</x:v>
      </x:c>
      <x:c r="E2" s="24" t="s">
        <x:v>35</x:v>
      </x:c>
      <x:c r="F2" s="19" t="s">
        <x:v>21</x:v>
      </x:c>
      <x:c r="G2" s="24" t="s">
        <x:v>48</x:v>
      </x:c>
      <x:c r="H2" s="19" t="s">
        <x:v>57</x:v>
      </x:c>
      <x:c r="I2" s="19" t="s">
        <x:v>28</x:v>
      </x:c>
      <x:c r="J2" s="19" t="s">
        <x:v>41</x:v>
      </x:c>
      <x:c r="K2" s="19" t="s">
        <x:v>32</x:v>
      </x:c>
      <x:c r="L2" s="19" t="s">
        <x:v>36</x:v>
      </x:c>
      <x:c r="M2" s="19" t="s">
        <x:v>42</x:v>
      </x:c>
      <x:c r="N2" s="19" t="s">
        <x:v>44</x:v>
      </x:c>
      <x:c r="O2" s="19" t="s">
        <x:v>46</x:v>
      </x:c>
      <x:c r="P2" s="69" t="s">
        <x:v>55</x:v>
      </x:c>
      <x:c r="Q2" s="19" t="s">
        <x:v>28</x:v>
      </x:c>
      <x:c r="R2" s="20" t="s">
        <x:v>51</x:v>
      </x:c>
    </x:row>
    <x:row r="3" spans="2:18" ht="16.75" hidden="1">
      <x:c r="B3" s="21">
        <x:v>1</x:v>
      </x:c>
      <x:c r="C3" s="44" t="s">
        <x:v>18</x:v>
      </x:c>
      <x:c r="D3" s="66">
        <x:v>360000</x:v>
      </x:c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 t="s">
        <x:v>47</x:v>
      </x:c>
      <x:c r="Q3" s="66"/>
      <x:c r="R3" s="31"/>
    </x:row>
    <x:row r="4" spans="2:18" ht="16.75">
      <x:c r="B4" s="21">
        <x:v>2</x:v>
      </x:c>
      <x:c r="C4" s="44" t="s">
        <x:v>17</x:v>
      </x:c>
      <x:c r="D4" s="45">
        <x:v>90000</x:v>
      </x:c>
      <x:c r="E4" s="67"/>
      <x:c r="F4" s="67"/>
      <x:c r="G4" s="48">
        <x:v>90000</x:v>
      </x:c>
      <x:c r="H4" s="67"/>
      <x:c r="I4" s="67"/>
      <x:c r="J4" s="80">
        <x:v>90000</x:v>
      </x:c>
      <x:c r="K4" s="77"/>
      <x:c r="L4" s="77"/>
      <x:c r="M4" s="84"/>
      <x:c r="N4" s="84"/>
      <x:c r="O4" s="51">
        <x:v>60000</x:v>
      </x:c>
      <x:c r="P4" s="70">
        <x:v>30000</x:v>
      </x:c>
      <x:c r="Q4" s="48"/>
      <x:c r="R4" s="25"/>
    </x:row>
    <x:row r="5" spans="2:18" hidden="1">
      <x:c r="B5" s="22">
        <x:v>3</x:v>
      </x:c>
      <x:c r="C5" s="45" t="s">
        <x:v>78</x:v>
      </x:c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70">
        <x:v>270000</x:v>
      </x:c>
      <x:c r="Q5" s="48"/>
      <x:c r="R5" s="25" t="s">
        <x:v>50</x:v>
      </x:c>
    </x:row>
    <x:row r="6" spans="2:18">
      <x:c r="B6" s="22">
        <x:v>4</x:v>
      </x:c>
      <x:c r="C6" s="45" t="s">
        <x:v>4</x:v>
      </x:c>
      <x:c r="D6" s="48">
        <x:v>30000</x:v>
      </x:c>
      <x:c r="E6" s="48">
        <x:v>30000</x:v>
      </x:c>
      <x:c r="F6" s="48">
        <x:v>30000</x:v>
      </x:c>
      <x:c r="G6" s="48">
        <x:v>30000</x:v>
      </x:c>
      <x:c r="H6" s="48">
        <x:v>30000</x:v>
      </x:c>
      <x:c r="I6" s="48">
        <x:v>30000</x:v>
      </x:c>
      <x:c r="J6" s="48">
        <x:v>30000</x:v>
      </x:c>
      <x:c r="K6" s="48">
        <x:v>30000</x:v>
      </x:c>
      <x:c r="L6" s="48">
        <x:v>30000</x:v>
      </x:c>
      <x:c r="M6" s="48">
        <x:v>30000</x:v>
      </x:c>
      <x:c r="N6" s="48">
        <x:v>30000</x:v>
      </x:c>
      <x:c r="O6" s="48">
        <x:v>30000</x:v>
      </x:c>
      <x:c r="P6" s="48"/>
      <x:c r="Q6" s="48"/>
      <x:c r="R6" s="25"/>
    </x:row>
    <x:row r="7" spans="2:18" hidden="1">
      <x:c r="B7" s="22">
        <x:v>5</x:v>
      </x:c>
      <x:c r="C7" s="45" t="s">
        <x:v>3</x:v>
      </x:c>
      <x:c r="D7" s="45">
        <x:v>180000</x:v>
      </x:c>
      <x:c r="E7" s="67"/>
      <x:c r="F7" s="67"/>
      <x:c r="G7" s="67"/>
      <x:c r="H7" s="67"/>
      <x:c r="I7" s="67"/>
      <x:c r="J7" s="80">
        <x:v>180000</x:v>
      </x:c>
      <x:c r="K7" s="77"/>
      <x:c r="L7" s="77"/>
      <x:c r="M7" s="77"/>
      <x:c r="N7" s="77"/>
      <x:c r="O7" s="77"/>
      <x:c r="P7" s="70"/>
      <x:c r="Q7" s="48"/>
      <x:c r="R7" s="25"/>
    </x:row>
    <x:row r="8" spans="2:18" hidden="1">
      <x:c r="B8" s="22">
        <x:v>6</x:v>
      </x:c>
      <x:c r="C8" s="45" t="s">
        <x:v>12</x:v>
      </x:c>
      <x:c r="D8" s="67">
        <x:v>360000</x:v>
      </x:c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 t="s">
        <x:v>47</x:v>
      </x:c>
      <x:c r="Q8" s="67"/>
      <x:c r="R8" s="25"/>
    </x:row>
    <x:row r="9" spans="2:18">
      <x:c r="B9" s="22">
        <x:v>7</x:v>
      </x:c>
      <x:c r="C9" s="45" t="s">
        <x:v>22</x:v>
      </x:c>
      <x:c r="D9" s="67"/>
      <x:c r="E9" s="48">
        <x:v>90000</x:v>
      </x:c>
      <x:c r="F9" s="67"/>
      <x:c r="G9" s="48">
        <x:v>30000</x:v>
      </x:c>
      <x:c r="H9" s="67"/>
      <x:c r="I9" s="67"/>
      <x:c r="J9" s="67"/>
      <x:c r="K9" s="67"/>
      <x:c r="L9" s="48">
        <x:v>120000</x:v>
      </x:c>
      <x:c r="M9" s="84"/>
      <x:c r="N9" s="84"/>
      <x:c r="O9" s="51">
        <x:v>60000</x:v>
      </x:c>
      <x:c r="P9" s="70">
        <x:v>30000</x:v>
      </x:c>
      <x:c r="Q9" s="48"/>
      <x:c r="R9" s="64"/>
    </x:row>
    <x:row r="10" spans="2:18">
      <x:c r="B10" s="22">
        <x:v>8</x:v>
      </x:c>
      <x:c r="C10" s="45" t="s">
        <x:v>5</x:v>
      </x:c>
      <x:c r="D10" s="48">
        <x:v>30000</x:v>
      </x:c>
      <x:c r="E10" s="48">
        <x:v>30000</x:v>
      </x:c>
      <x:c r="F10" s="48">
        <x:v>30000</x:v>
      </x:c>
      <x:c r="G10" s="48">
        <x:v>30000</x:v>
      </x:c>
      <x:c r="H10" s="48">
        <x:v>30000</x:v>
      </x:c>
      <x:c r="I10" s="48">
        <x:v>30000</x:v>
      </x:c>
      <x:c r="J10" s="48">
        <x:v>30000</x:v>
      </x:c>
      <x:c r="K10" s="48">
        <x:v>30000</x:v>
      </x:c>
      <x:c r="L10" s="48"/>
      <x:c r="M10" s="48">
        <x:v>30000</x:v>
      </x:c>
      <x:c r="N10" s="48">
        <x:v>30000</x:v>
      </x:c>
      <x:c r="O10" s="48">
        <x:v>30000</x:v>
      </x:c>
      <x:c r="P10" s="48"/>
      <x:c r="Q10" s="48"/>
      <x:c r="R10" s="25"/>
    </x:row>
    <x:row r="11" spans="2:18">
      <x:c r="B11" s="22">
        <x:v>9</x:v>
      </x:c>
      <x:c r="C11" s="45" t="s">
        <x:v>8</x:v>
      </x:c>
      <x:c r="D11" s="48">
        <x:v>30000</x:v>
      </x:c>
      <x:c r="E11" s="48">
        <x:v>30000</x:v>
      </x:c>
      <x:c r="F11" s="48">
        <x:v>30000</x:v>
      </x:c>
      <x:c r="G11" s="48">
        <x:v>30000</x:v>
      </x:c>
      <x:c r="H11" s="48">
        <x:v>30000</x:v>
      </x:c>
      <x:c r="I11" s="48">
        <x:v>30000</x:v>
      </x:c>
      <x:c r="J11" s="48">
        <x:v>30000</x:v>
      </x:c>
      <x:c r="K11" s="48">
        <x:v>30000</x:v>
      </x:c>
      <x:c r="L11" s="48">
        <x:v>30000</x:v>
      </x:c>
      <x:c r="M11" s="48">
        <x:v>30000</x:v>
      </x:c>
      <x:c r="N11" s="84"/>
      <x:c r="O11" s="48">
        <x:v>60000</x:v>
      </x:c>
      <x:c r="P11" s="70"/>
      <x:c r="Q11" s="48"/>
      <x:c r="R11" s="25"/>
    </x:row>
    <x:row r="12" spans="2:18">
      <x:c r="B12" s="22">
        <x:v>10</x:v>
      </x:c>
      <x:c r="C12" s="45" t="s">
        <x:v>9</x:v>
      </x:c>
      <x:c r="D12" s="48">
        <x:v>30000</x:v>
      </x:c>
      <x:c r="E12" s="48">
        <x:v>30000</x:v>
      </x:c>
      <x:c r="F12" s="48">
        <x:v>30000</x:v>
      </x:c>
      <x:c r="G12" s="48">
        <x:v>30000</x:v>
      </x:c>
      <x:c r="H12" s="48">
        <x:v>30000</x:v>
      </x:c>
      <x:c r="I12" s="48">
        <x:v>30000</x:v>
      </x:c>
      <x:c r="J12" s="48">
        <x:v>30000</x:v>
      </x:c>
      <x:c r="K12" s="48">
        <x:v>60000</x:v>
      </x:c>
      <x:c r="L12" s="48">
        <x:v>30000</x:v>
      </x:c>
      <x:c r="M12" s="48">
        <x:v>30000</x:v>
      </x:c>
      <x:c r="N12" s="48">
        <x:v>30000</x:v>
      </x:c>
      <x:c r="O12" s="48">
        <x:v>30000</x:v>
      </x:c>
      <x:c r="P12" s="70"/>
      <x:c r="Q12" s="48"/>
      <x:c r="R12" s="25"/>
    </x:row>
    <x:row r="13" spans="2:18">
      <x:c r="B13" s="22">
        <x:v>11</x:v>
      </x:c>
      <x:c r="C13" s="45" t="s">
        <x:v>16</x:v>
      </x:c>
      <x:c r="D13" s="48">
        <x:v>30000</x:v>
      </x:c>
      <x:c r="E13" s="48">
        <x:v>30000</x:v>
      </x:c>
      <x:c r="F13" s="62">
        <x:v>30000</x:v>
      </x:c>
      <x:c r="G13" s="48">
        <x:v>30000</x:v>
      </x:c>
      <x:c r="H13" s="48">
        <x:v>30000</x:v>
      </x:c>
      <x:c r="I13" s="48">
        <x:v>30000</x:v>
      </x:c>
      <x:c r="J13" s="63">
        <x:v>30000</x:v>
      </x:c>
      <x:c r="K13" s="63">
        <x:v>30000</x:v>
      </x:c>
      <x:c r="L13" s="63">
        <x:v>30000</x:v>
      </x:c>
      <x:c r="M13" s="63">
        <x:v>30000</x:v>
      </x:c>
      <x:c r="N13" s="63">
        <x:v>30000</x:v>
      </x:c>
      <x:c r="O13" s="63">
        <x:v>30000</x:v>
      </x:c>
      <x:c r="P13" s="63"/>
      <x:c r="Q13" s="48"/>
      <x:c r="R13" s="25"/>
    </x:row>
    <x:row r="14" spans="2:18">
      <x:c r="B14" s="22">
        <x:v>12</x:v>
      </x:c>
      <x:c r="C14" s="45" t="s">
        <x:v>14</x:v>
      </x:c>
      <x:c r="D14" s="45">
        <x:v>30000</x:v>
      </x:c>
      <x:c r="E14" s="77"/>
      <x:c r="F14" s="62">
        <x:v>30000</x:v>
      </x:c>
      <x:c r="G14" s="48">
        <x:v>60000</x:v>
      </x:c>
      <x:c r="H14" s="74"/>
      <x:c r="I14" s="63">
        <x:v>60000</x:v>
      </x:c>
      <x:c r="J14" s="63">
        <x:v>30000</x:v>
      </x:c>
      <x:c r="K14" s="63">
        <x:v>30000</x:v>
      </x:c>
      <x:c r="L14" s="63">
        <x:v>30000</x:v>
      </x:c>
      <x:c r="M14" s="63">
        <x:v>30000</x:v>
      </x:c>
      <x:c r="N14" s="63">
        <x:v>30000</x:v>
      </x:c>
      <x:c r="O14" s="63">
        <x:v>30000</x:v>
      </x:c>
      <x:c r="P14" s="71"/>
      <x:c r="Q14" s="48"/>
      <x:c r="R14" s="25"/>
    </x:row>
    <x:row r="15" spans="2:18">
      <x:c r="B15" s="22">
        <x:v>13</x:v>
      </x:c>
      <x:c r="C15" s="45" t="s">
        <x:v>10</x:v>
      </x:c>
      <x:c r="D15" s="48">
        <x:v>30000</x:v>
      </x:c>
      <x:c r="E15" s="48">
        <x:v>30000</x:v>
      </x:c>
      <x:c r="F15" s="62">
        <x:v>30000</x:v>
      </x:c>
      <x:c r="G15" s="48">
        <x:v>30000</x:v>
      </x:c>
      <x:c r="H15" s="48">
        <x:v>30000</x:v>
      </x:c>
      <x:c r="I15" s="74"/>
      <x:c r="J15" s="74"/>
      <x:c r="K15" s="63">
        <x:v>90000</x:v>
      </x:c>
      <x:c r="L15" s="72"/>
      <x:c r="M15" s="72"/>
      <x:c r="N15" s="72"/>
      <x:c r="O15" s="72"/>
      <x:c r="P15" s="70">
        <x:v>120000</x:v>
      </x:c>
      <x:c r="Q15" s="48"/>
      <x:c r="R15" s="25"/>
    </x:row>
    <x:row r="16" spans="2:18">
      <x:c r="B16" s="22">
        <x:v>14</x:v>
      </x:c>
      <x:c r="C16" s="45" t="s">
        <x:v>15</x:v>
      </x:c>
      <x:c r="D16" s="48">
        <x:v>30000</x:v>
      </x:c>
      <x:c r="E16" s="77"/>
      <x:c r="F16" s="78"/>
      <x:c r="G16" s="48">
        <x:v>90000</x:v>
      </x:c>
      <x:c r="H16" s="79"/>
      <x:c r="I16" s="63">
        <x:v>60000</x:v>
      </x:c>
      <x:c r="J16" s="63">
        <x:v>60000</x:v>
      </x:c>
      <x:c r="K16" s="74"/>
      <x:c r="L16" s="72"/>
      <x:c r="M16" s="72"/>
      <x:c r="N16" s="72"/>
      <x:c r="O16" s="72"/>
      <x:c r="P16" s="70"/>
      <x:c r="Q16" s="48"/>
      <x:c r="R16" s="64" t="s">
        <x:v>59</x:v>
      </x:c>
    </x:row>
    <x:row r="17" spans="2:18" ht="16.75">
      <x:c r="B17" s="22">
        <x:v>15</x:v>
      </x:c>
      <x:c r="C17" s="45" t="s">
        <x:v>6</x:v>
      </x:c>
      <x:c r="D17" s="48">
        <x:v>30000</x:v>
      </x:c>
      <x:c r="E17" s="67"/>
      <x:c r="F17" s="75"/>
      <x:c r="G17" s="76"/>
      <x:c r="H17" s="74"/>
      <x:c r="I17" s="81">
        <x:v>180000</x:v>
      </x:c>
      <x:c r="J17" s="74"/>
      <x:c r="K17" s="74"/>
      <x:c r="L17" s="74"/>
      <x:c r="M17" s="63">
        <x:v>120000</x:v>
      </x:c>
      <x:c r="N17" s="63">
        <x:v>30000</x:v>
      </x:c>
      <x:c r="O17" s="63">
        <x:v>30000</x:v>
      </x:c>
      <x:c r="P17" s="71"/>
      <x:c r="Q17" s="48"/>
      <x:c r="R17" s="47"/>
    </x:row>
    <x:row r="18" spans="2:18" s="4" customFormat="1" ht="16.75">
      <x:c r="B18" s="22">
        <x:v>16</x:v>
      </x:c>
      <x:c r="C18" s="45" t="s">
        <x:v>13</x:v>
      </x:c>
      <x:c r="D18" s="82"/>
      <x:c r="E18" s="67"/>
      <x:c r="F18" s="75"/>
      <x:c r="G18" s="76"/>
      <x:c r="H18" s="74"/>
      <x:c r="I18" s="79"/>
      <x:c r="J18" s="74"/>
      <x:c r="K18" s="74"/>
      <x:c r="L18" s="63">
        <x:v>130000</x:v>
      </x:c>
      <x:c r="M18" s="63">
        <x:v>30000</x:v>
      </x:c>
      <x:c r="N18" s="63">
        <x:v>60000</x:v>
      </x:c>
      <x:c r="O18" s="63"/>
      <x:c r="P18" s="71"/>
      <x:c r="Q18" s="63"/>
      <x:c r="R18" s="47"/>
    </x:row>
    <x:row r="19" spans="2:18" ht="17.149999999999999">
      <x:c r="B19" s="24">
        <x:v>17</x:v>
      </x:c>
      <x:c r="C19" s="43" t="s">
        <x:v>33</x:v>
      </x:c>
      <x:c r="D19" s="56"/>
      <x:c r="E19" s="57"/>
      <x:c r="F19" s="58"/>
      <x:c r="G19" s="49">
        <x:f>640000+53320+60600+60600+60600+60600+58500+60600</x:f>
        <x:v>1054820</x:v>
      </x:c>
      <x:c r="H19" s="57"/>
      <x:c r="I19" s="57">
        <x:v>1994700</x:v>
      </x:c>
      <x:c r="J19" s="59"/>
      <x:c r="K19" s="59">
        <x:v>52000</x:v>
      </x:c>
      <x:c r="L19" s="59">
        <x:f>1025000+615300</x:f>
        <x:v>1640300</x:v>
      </x:c>
      <x:c r="M19" s="59">
        <x:v>161469</x:v>
      </x:c>
      <x:c r="N19" s="59"/>
      <x:c r="O19" s="59"/>
      <x:c r="P19" s="59"/>
      <x:c r="Q19" s="59"/>
      <x:c r="R19" s="30" t="s">
        <x:v>19</x:v>
      </x:c>
    </x:row>
    <x:row r="20" spans="2:18" ht="17.149999999999999">
      <x:c r="B20" s="27">
        <x:v>18</x:v>
      </x:c>
      <x:c r="C20" s="46" t="s">
        <x:v>70</x:v>
      </x:c>
      <x:c r="D20" s="60">
        <x:f>1990+2060+816</x:f>
        <x:v>4866</x:v>
      </x:c>
      <x:c r="E20" s="43">
        <x:v>5304</x:v>
      </x:c>
      <x:c r="F20" s="61">
        <x:f>3087+799</x:f>
        <x:v>3886</x:v>
      </x:c>
      <x:c r="G20" s="57">
        <x:f>1272+1913</x:f>
        <x:v>3185</x:v>
      </x:c>
      <x:c r="H20" s="57">
        <x:f>12+300+2711+18</x:f>
        <x:v>3041</x:v>
      </x:c>
      <x:c r="I20" s="57">
        <x:f>11</x:f>
        <x:v>11</x:v>
      </x:c>
      <x:c r="J20" s="57">
        <x:v>2283</x:v>
      </x:c>
      <x:c r="K20" s="57">
        <x:f>3571+322</x:f>
        <x:v>3893</x:v>
      </x:c>
      <x:c r="L20" s="57">
        <x:f>900+150000+548000+46</x:f>
        <x:v>698946</x:v>
      </x:c>
      <x:c r="M20" s="57">
        <x:f>19+1392</x:f>
        <x:v>1411</x:v>
      </x:c>
      <x:c r="N20" s="57">
        <x:f>48+1774</x:f>
        <x:v>1822</x:v>
      </x:c>
      <x:c r="O20" s="57">
        <x:v>330</x:v>
      </x:c>
      <x:c r="P20" s="57"/>
      <x:c r="Q20" s="57"/>
      <x:c r="R20" s="29" t="s">
        <x:v>74</x:v>
      </x:c>
    </x:row>
    <x:row r="21" spans="2:18" ht="17.149999999999999">
      <x:c r="B21" s="27">
        <x:v>19</x:v>
      </x:c>
      <x:c r="C21" s="46" t="s">
        <x:v>7</x:v>
      </x:c>
      <x:c r="D21" s="60"/>
      <x:c r="E21" s="46"/>
      <x:c r="F21" s="61"/>
      <x:c r="G21" s="57"/>
      <x:c r="H21" s="57"/>
      <x:c r="I21" s="57"/>
      <x:c r="J21" s="57"/>
      <x:c r="K21" s="57"/>
      <x:c r="L21" s="57" t="s">
        <x:v>0</x:v>
      </x:c>
      <x:c r="M21" s="57"/>
      <x:c r="N21" s="57"/>
      <x:c r="O21" s="57"/>
      <x:c r="P21" s="57"/>
      <x:c r="Q21" s="57"/>
      <x:c r="R21" s="29" t="s">
        <x:v>83</x:v>
      </x:c>
    </x:row>
    <x:row r="22" spans="2:18" ht="17.149999999999999">
      <x:c r="B22" s="27">
        <x:v>20</x:v>
      </x:c>
      <x:c r="C22" s="24" t="s">
        <x:v>58</x:v>
      </x:c>
      <x:c r="D22" s="26">
        <x:f>2005539+D20+D17+D16+D15+D14+D13+D12+D11+D10+D9+D8+D7+D6+D5+D4+D3</x:f>
        <x:v>3270405</x:v>
      </x:c>
      <x:c r="E22" s="26">
        <x:f>D22+E20+E17+E16+E15+E14+E13+E12+E11+E10+E9+E8+E7+E6+E5+E4+E32</x:f>
        <x:v>3545709</x:v>
      </x:c>
      <x:c r="F22" s="26">
        <x:f>E22+F20+F17+F16+F15+F14+F13+F12+F11+F10+F9+F8+F7+F6+F5+F4+F32-F19</x:f>
        <x:v>3759595</x:v>
      </x:c>
      <x:c r="G22" s="26">
        <x:f>F22+G20+G17+G16+G15+G14+G13+G12+G11+G10+G9+G8+G7+G6+G5+G4+G32-G19</x:f>
        <x:v>3157960</x:v>
      </x:c>
      <x:c r="H22" s="26">
        <x:f t="shared" ref="H22:I22" si="0">G22+H20+H17+H16+H15+H14+H13+H12+H11+H10+H9+H8+H7+H6+H5+H4+H32-H19</x:f>
        <x:v>3341001</x:v>
      </x:c>
      <x:c r="I22" s="26">
        <x:f t="shared" si="0"/>
        <x:v>1796312</x:v>
      </x:c>
      <x:c r="J22" s="73">
        <x:f>I22+J4+J5+J6+J7+J9+J10+J11+J12+J13+J14+J15+J16+J17+J20</x:f>
        <x:v>2308595</x:v>
      </x:c>
      <x:c r="K22" s="73">
        <x:f>J22+K4+K5+K6+K7+K9+K10+K11+K12+K13+K14+K15+K16+K17+K20-K19</x:f>
        <x:v>2560488</x:v>
      </x:c>
      <x:c r="L22" s="73">
        <x:f>K22+L4+L5+L6+L7+L9+L10+L11+L12+L13+L14+L15+L16+L17+L20-L19</x:f>
        <x:v>1889134</x:v>
      </x:c>
      <x:c r="M22" s="73">
        <x:f>L22+M4+M5+M6+M7+M9+M10+M11+M12+M13+M14+M15+M16+M17+M20-M19</x:f>
        <x:v>2029076</x:v>
      </x:c>
      <x:c r="N22" s="73">
        <x:f>1360503+850395</x:f>
        <x:v>2210898</x:v>
      </x:c>
      <x:c r="O22" s="73">
        <x:f>1360503+850395</x:f>
        <x:v>2210898</x:v>
      </x:c>
      <x:c r="P22" s="83">
        <x:f>P4+P6+P9+P10+P11+P12+P13+P14+P15+P16+P17+P18</x:f>
        <x:v>180000</x:v>
      </x:c>
      <x:c r="Q22" s="30"/>
      <x:c r="R22" s="20"/>
    </x:row>
    <x:row r="23" spans="5:16">
      <x:c r="E23" s="65"/>
      <x:c r="M23" s="68"/>
      <x:c r="P23" s="3"/>
    </x:row>
    <x:row r="24" spans="9:15">
      <x:c r="I24" s="68"/>
      <x:c r="J24" s="68"/>
      <x:c r="K24" s="68"/>
      <x:c r="L24" s="68"/>
      <x:c r="M24" s="68"/>
      <x:c r="N24" s="68"/>
      <x:c r="O24" s="68">
        <x:v>2210898</x:v>
      </x:c>
    </x:row>
    <x:row r="25" spans="7:15">
      <x:c r="G25" s="68"/>
      <x:c r="H25" s="68"/>
      <x:c r="I25" s="68"/>
      <x:c r="J25" s="68"/>
      <x:c r="K25" s="68"/>
      <x:c r="L25" s="68"/>
      <x:c r="M25" s="68">
        <x:f>1957337+5328</x:f>
        <x:v>1962665</x:v>
      </x:c>
      <x:c r="N25" s="68"/>
      <x:c r="O25" s="68"/>
    </x:row>
    <x:row r="26" spans="9:15">
      <x:c r="I26" s="68"/>
      <x:c r="L26" s="68"/>
      <x:c r="M26" s="68">
        <x:f>M22-M28</x:f>
        <x:v>336411</x:v>
      </x:c>
      <x:c r="N26" s="68"/>
      <x:c r="O26" s="68"/>
    </x:row>
    <x:row r="28" spans="13:13">
      <x:c r="M28" s="4">
        <x:f>335328+1357337</x:f>
        <x:v>1692665</x:v>
      </x:c>
    </x:row>
    <x:row r="29" spans="9:9">
      <x:c r="I29" s="68"/>
    </x:row>
    <x:row r="31" spans="11:15">
      <x:c r="K31" s="68"/>
      <x:c r="M31" s="65">
        <x:f>M19-385000+50000</x:f>
        <x:v>-173531</x:v>
      </x:c>
      <x:c r="N31" s="65"/>
      <x:c r="O31" s="65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AC56"/>
  <x:sheetViews>
    <x:sheetView topLeftCell="A1" zoomScaleNormal="100" zoomScaleSheetLayoutView="75" workbookViewId="0">
      <x:selection activeCell="A3" activeCellId="0" sqref="A3:B17"/>
    </x:sheetView>
  </x:sheetViews>
  <x:sheetFormatPr defaultColWidth="9.00390625" defaultRowHeight="16.399999999999999"/>
  <x:cols>
    <x:col min="1" max="1" width="9.00390625" style="11" bestFit="1" customWidth="1"/>
    <x:col min="2" max="2" width="18.75" style="14" customWidth="1"/>
    <x:col min="3" max="3" width="10.875" style="14" hidden="1" bestFit="1" customWidth="1"/>
    <x:col min="4" max="4" width="11.90234375" style="14" hidden="1" bestFit="1" customWidth="1"/>
    <x:col min="5" max="5" width="11.765625" style="13" hidden="1" bestFit="1" customWidth="1"/>
    <x:col min="6" max="6" width="11.90234375" style="11" hidden="1" bestFit="1" customWidth="1"/>
    <x:col min="7" max="7" width="11.90234375" style="10" hidden="1" customWidth="1"/>
    <x:col min="8" max="8" width="11.765625" style="10" bestFit="1" customWidth="1"/>
    <x:col min="9" max="9" width="12.125" style="10" customWidth="1"/>
    <x:col min="10" max="10" width="11.875" style="10" customWidth="1"/>
    <x:col min="11" max="11" width="12.625" style="10" customWidth="1"/>
    <x:col min="12" max="13" width="12.25" style="10" customWidth="1"/>
    <x:col min="14" max="14" width="11.90234375" style="10" bestFit="1" customWidth="1"/>
    <x:col min="15" max="15" width="56.75" style="14" customWidth="1"/>
  </x:cols>
  <x:sheetData>
    <x:row r="2" spans="1:28" ht="17.149999999999999">
      <x:c r="A2" s="18"/>
      <x:c r="B2" s="24" t="s">
        <x:v>11</x:v>
      </x:c>
      <x:c r="C2" s="19" t="s">
        <x:v>41</x:v>
      </x:c>
      <x:c r="D2" s="24" t="s">
        <x:v>32</x:v>
      </x:c>
      <x:c r="E2" s="19" t="s">
        <x:v>36</x:v>
      </x:c>
      <x:c r="F2" s="24" t="s">
        <x:v>42</x:v>
      </x:c>
      <x:c r="G2" s="19" t="s">
        <x:v>24</x:v>
      </x:c>
      <x:c r="H2" s="19" t="s">
        <x:v>44</x:v>
      </x:c>
      <x:c r="I2" s="19" t="s">
        <x:v>43</x:v>
      </x:c>
      <x:c r="J2" s="19" t="s">
        <x:v>37</x:v>
      </x:c>
      <x:c r="K2" s="19" t="s">
        <x:v>24</x:v>
      </x:c>
      <x:c r="L2" s="19" t="s">
        <x:v>45</x:v>
      </x:c>
      <x:c r="M2" s="19" t="s">
        <x:v>68</x:v>
      </x:c>
      <x:c r="N2" s="24" t="s">
        <x:v>46</x:v>
      </x:c>
      <x:c r="O2" s="20" t="s">
        <x:v>51</x:v>
      </x:c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</x:row>
    <x:row r="3" spans="1:28" ht="16.75">
      <x:c r="A3" s="21">
        <x:v>1</x:v>
      </x:c>
      <x:c r="B3" s="44" t="s">
        <x:v>18</x:v>
      </x:c>
      <x:c r="C3" s="52">
        <x:v>160000</x:v>
      </x:c>
      <x:c r="D3" s="52" t="s">
        <x:v>29</x:v>
      </x:c>
      <x:c r="E3" s="52" t="s">
        <x:v>29</x:v>
      </x:c>
      <x:c r="F3" s="52">
        <x:v>60000</x:v>
      </x:c>
      <x:c r="G3" s="52"/>
      <x:c r="H3" s="52" t="s">
        <x:v>29</x:v>
      </x:c>
      <x:c r="I3" s="52">
        <x:v>110000</x:v>
      </x:c>
      <x:c r="J3" s="52">
        <x:v>55000</x:v>
      </x:c>
      <x:c r="K3" s="52" t="s">
        <x:v>29</x:v>
      </x:c>
      <x:c r="L3" s="52"/>
      <x:c r="M3" s="52"/>
      <x:c r="N3" s="52">
        <x:v>60000</x:v>
      </x:c>
      <x:c r="O3" s="31" t="s">
        <x:v>73</x:v>
      </x:c>
      <x:c r="P3" s="16"/>
      <x:c r="Q3" s="16"/>
      <x:c r="R3" s="16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</x:row>
    <x:row r="4" spans="1:28">
      <x:c r="A4" s="22">
        <x:v>2</x:v>
      </x:c>
      <x:c r="B4" s="45" t="s">
        <x:v>17</x:v>
      </x:c>
      <x:c r="C4" s="48">
        <x:v>30000</x:v>
      </x:c>
      <x:c r="D4" s="48">
        <x:v>150000</x:v>
      </x:c>
      <x:c r="E4" s="48" t="s">
        <x:v>29</x:v>
      </x:c>
      <x:c r="F4" s="48" t="s">
        <x:v>29</x:v>
      </x:c>
      <x:c r="G4" s="48"/>
      <x:c r="H4" s="48" t="s">
        <x:v>29</x:v>
      </x:c>
      <x:c r="I4" s="48">
        <x:v>55000</x:v>
      </x:c>
      <x:c r="J4" s="48">
        <x:v>55000</x:v>
      </x:c>
      <x:c r="K4" s="48">
        <x:v>30000</x:v>
      </x:c>
      <x:c r="L4" s="48"/>
      <x:c r="M4" s="48"/>
      <x:c r="N4" s="48" t="s">
        <x:v>29</x:v>
      </x:c>
      <x:c r="O4" s="25"/>
      <x:c r="P4" s="16"/>
      <x:c r="Q4" s="16"/>
      <x:c r="R4" s="16"/>
      <x:c r="S4" s="15"/>
      <x:c r="T4" s="15"/>
      <x:c r="U4" s="15"/>
      <x:c r="V4" s="15"/>
      <x:c r="W4" s="15"/>
      <x:c r="X4" s="15"/>
      <x:c r="Y4" s="15"/>
      <x:c r="Z4" s="15"/>
      <x:c r="AA4" s="15"/>
      <x:c r="AB4" s="15"/>
    </x:row>
    <x:row r="5" spans="1:28">
      <x:c r="A5" s="22">
        <x:v>3</x:v>
      </x:c>
      <x:c r="B5" s="45" t="s">
        <x:v>78</x:v>
      </x:c>
      <x:c r="C5" s="48">
        <x:v>30000</x:v>
      </x:c>
      <x:c r="D5" s="48">
        <x:v>150000</x:v>
      </x:c>
      <x:c r="E5" s="48" t="s">
        <x:v>29</x:v>
      </x:c>
      <x:c r="F5" s="48" t="s">
        <x:v>29</x:v>
      </x:c>
      <x:c r="G5" s="48"/>
      <x:c r="H5" s="48" t="s">
        <x:v>29</x:v>
      </x:c>
      <x:c r="I5" s="48"/>
      <x:c r="J5" s="48">
        <x:v>55000</x:v>
      </x:c>
      <x:c r="K5" s="48"/>
      <x:c r="L5" s="48"/>
      <x:c r="M5" s="48"/>
      <x:c r="N5" s="48" t="s">
        <x:v>29</x:v>
      </x:c>
      <x:c r="O5" s="25"/>
      <x:c r="P5" s="16"/>
      <x:c r="Q5" s="16"/>
      <x:c r="R5" s="16"/>
      <x:c r="S5" s="15"/>
      <x:c r="T5" s="15"/>
      <x:c r="U5" s="15"/>
      <x:c r="V5" s="15"/>
      <x:c r="W5" s="15"/>
      <x:c r="X5" s="15"/>
      <x:c r="Y5" s="15"/>
      <x:c r="Z5" s="15"/>
      <x:c r="AA5" s="15"/>
      <x:c r="AB5" s="15"/>
    </x:row>
    <x:row r="6" spans="1:28">
      <x:c r="A6" s="22">
        <x:v>4</x:v>
      </x:c>
      <x:c r="B6" s="45" t="s">
        <x:v>4</x:v>
      </x:c>
      <x:c r="C6" s="48">
        <x:v>30000</x:v>
      </x:c>
      <x:c r="D6" s="48">
        <x:v>30000</x:v>
      </x:c>
      <x:c r="E6" s="48">
        <x:v>30000</x:v>
      </x:c>
      <x:c r="F6" s="48">
        <x:v>30000</x:v>
      </x:c>
      <x:c r="G6" s="48"/>
      <x:c r="H6" s="48">
        <x:v>30000</x:v>
      </x:c>
      <x:c r="I6" s="48"/>
      <x:c r="J6" s="48">
        <x:v>110000</x:v>
      </x:c>
      <x:c r="K6" s="48">
        <x:v>30000</x:v>
      </x:c>
      <x:c r="L6" s="48"/>
      <x:c r="M6" s="48"/>
      <x:c r="N6" s="48">
        <x:v>30000</x:v>
      </x:c>
      <x:c r="O6" s="25" t="s">
        <x:v>2</x:v>
      </x:c>
      <x:c r="P6" s="16"/>
      <x:c r="Q6" s="16"/>
      <x:c r="R6" s="16"/>
      <x:c r="S6" s="15"/>
      <x:c r="T6" s="15"/>
      <x:c r="U6" s="15"/>
      <x:c r="V6" s="15"/>
      <x:c r="W6" s="15"/>
      <x:c r="X6" s="15"/>
      <x:c r="Y6" s="15"/>
      <x:c r="Z6" s="15"/>
      <x:c r="AA6" s="15"/>
      <x:c r="AB6" s="15"/>
    </x:row>
    <x:row r="7" spans="1:28">
      <x:c r="A7" s="22">
        <x:v>5</x:v>
      </x:c>
      <x:c r="B7" s="45" t="s">
        <x:v>3</x:v>
      </x:c>
      <x:c r="C7" s="48">
        <x:v>180000</x:v>
      </x:c>
      <x:c r="D7" s="48" t="s">
        <x:v>29</x:v>
      </x:c>
      <x:c r="E7" s="48" t="s">
        <x:v>29</x:v>
      </x:c>
      <x:c r="F7" s="48" t="s">
        <x:v>29</x:v>
      </x:c>
      <x:c r="G7" s="48"/>
      <x:c r="H7" s="48" t="s">
        <x:v>29</x:v>
      </x:c>
      <x:c r="I7" s="48"/>
      <x:c r="J7" s="48"/>
      <x:c r="K7" s="48">
        <x:v>30000</x:v>
      </x:c>
      <x:c r="L7" s="48"/>
      <x:c r="M7" s="48"/>
      <x:c r="N7" s="48" t="s">
        <x:v>29</x:v>
      </x:c>
      <x:c r="O7" s="25"/>
      <x:c r="P7" s="16"/>
      <x:c r="Q7" s="16"/>
      <x:c r="R7" s="16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</x:row>
    <x:row r="8" spans="1:28">
      <x:c r="A8" s="22">
        <x:v>6</x:v>
      </x:c>
      <x:c r="B8" s="45" t="s">
        <x:v>12</x:v>
      </x:c>
      <x:c r="C8" s="48">
        <x:v>30000</x:v>
      </x:c>
      <x:c r="D8" s="48">
        <x:v>30000</x:v>
      </x:c>
      <x:c r="E8" s="48">
        <x:v>30000</x:v>
      </x:c>
      <x:c r="F8" s="48">
        <x:v>30000</x:v>
      </x:c>
      <x:c r="G8" s="48"/>
      <x:c r="H8" s="48">
        <x:v>30000</x:v>
      </x:c>
      <x:c r="I8" s="48">
        <x:v>110000</x:v>
      </x:c>
      <x:c r="J8" s="48">
        <x:v>55000</x:v>
      </x:c>
      <x:c r="K8" s="48">
        <x:v>30000</x:v>
      </x:c>
      <x:c r="L8" s="48"/>
      <x:c r="M8" s="48"/>
      <x:c r="N8" s="48">
        <x:v>30000</x:v>
      </x:c>
      <x:c r="O8" s="25"/>
      <x:c r="P8" s="16"/>
      <x:c r="Q8" s="16"/>
      <x:c r="R8" s="16"/>
      <x:c r="S8" s="15"/>
      <x:c r="T8" s="15"/>
      <x:c r="U8" s="15"/>
      <x:c r="V8" s="15"/>
      <x:c r="W8" s="15"/>
      <x:c r="X8" s="15"/>
      <x:c r="Y8" s="15"/>
      <x:c r="Z8" s="15"/>
      <x:c r="AA8" s="15"/>
      <x:c r="AB8" s="15"/>
    </x:row>
    <x:row r="9" spans="1:28">
      <x:c r="A9" s="22">
        <x:v>7</x:v>
      </x:c>
      <x:c r="B9" s="45" t="s">
        <x:v>22</x:v>
      </x:c>
      <x:c r="C9" s="48">
        <x:v>30000</x:v>
      </x:c>
      <x:c r="D9" s="48">
        <x:v>30000</x:v>
      </x:c>
      <x:c r="E9" s="48" t="s">
        <x:v>29</x:v>
      </x:c>
      <x:c r="F9" s="48">
        <x:v>60000</x:v>
      </x:c>
      <x:c r="G9" s="48"/>
      <x:c r="H9" s="51" t="s">
        <x:v>55</x:v>
      </x:c>
      <x:c r="I9" s="48"/>
      <x:c r="J9" s="48"/>
      <x:c r="K9" s="48"/>
      <x:c r="L9" s="48"/>
      <x:c r="M9" s="48"/>
      <x:c r="N9" s="51" t="s">
        <x:v>55</x:v>
      </x:c>
      <x:c r="O9" s="25"/>
      <x:c r="P9" s="16"/>
      <x:c r="Q9" s="16"/>
      <x:c r="R9" s="16"/>
      <x:c r="S9" s="15"/>
      <x:c r="T9" s="15"/>
      <x:c r="U9" s="15"/>
      <x:c r="V9" s="15"/>
      <x:c r="W9" s="15"/>
      <x:c r="X9" s="15"/>
      <x:c r="Y9" s="15"/>
      <x:c r="Z9" s="15"/>
      <x:c r="AA9" s="15"/>
      <x:c r="AB9" s="15"/>
    </x:row>
    <x:row r="10" spans="1:28">
      <x:c r="A10" s="22">
        <x:v>8</x:v>
      </x:c>
      <x:c r="B10" s="45" t="s">
        <x:v>5</x:v>
      </x:c>
      <x:c r="C10" s="48">
        <x:v>30000</x:v>
      </x:c>
      <x:c r="D10" s="48">
        <x:v>30000</x:v>
      </x:c>
      <x:c r="E10" s="48">
        <x:v>30000</x:v>
      </x:c>
      <x:c r="F10" s="48">
        <x:v>30000</x:v>
      </x:c>
      <x:c r="G10" s="48"/>
      <x:c r="H10" s="48">
        <x:v>30000</x:v>
      </x:c>
      <x:c r="I10" s="48">
        <x:v>130000</x:v>
      </x:c>
      <x:c r="J10" s="48">
        <x:v>55000</x:v>
      </x:c>
      <x:c r="K10" s="48">
        <x:v>30000</x:v>
      </x:c>
      <x:c r="L10" s="48"/>
      <x:c r="M10" s="48"/>
      <x:c r="N10" s="48">
        <x:v>30000</x:v>
      </x:c>
      <x:c r="O10" s="25"/>
      <x:c r="P10" s="16"/>
      <x:c r="Q10" s="16"/>
      <x:c r="R10" s="16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15"/>
    </x:row>
    <x:row r="11" spans="1:28">
      <x:c r="A11" s="22">
        <x:v>9</x:v>
      </x:c>
      <x:c r="B11" s="45" t="s">
        <x:v>8</x:v>
      </x:c>
      <x:c r="C11" s="48">
        <x:v>30000</x:v>
      </x:c>
      <x:c r="D11" s="48">
        <x:v>30000</x:v>
      </x:c>
      <x:c r="E11" s="48">
        <x:v>60000</x:v>
      </x:c>
      <x:c r="F11" s="48" t="s">
        <x:v>29</x:v>
      </x:c>
      <x:c r="G11" s="48"/>
      <x:c r="H11" s="48">
        <x:v>30000</x:v>
      </x:c>
      <x:c r="I11" s="48"/>
      <x:c r="J11" s="48">
        <x:v>55000</x:v>
      </x:c>
      <x:c r="K11" s="48">
        <x:v>30000</x:v>
      </x:c>
      <x:c r="L11" s="48"/>
      <x:c r="M11" s="48"/>
      <x:c r="N11" s="48">
        <x:v>30000</x:v>
      </x:c>
      <x:c r="O11" s="25"/>
      <x:c r="P11" s="16"/>
      <x:c r="Q11" s="16"/>
      <x:c r="R11" s="16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15"/>
    </x:row>
    <x:row r="12" spans="1:28">
      <x:c r="A12" s="22">
        <x:v>10</x:v>
      </x:c>
      <x:c r="B12" s="45" t="s">
        <x:v>9</x:v>
      </x:c>
      <x:c r="C12" s="48">
        <x:v>30000</x:v>
      </x:c>
      <x:c r="D12" s="48">
        <x:v>30000</x:v>
      </x:c>
      <x:c r="E12" s="48">
        <x:v>30000</x:v>
      </x:c>
      <x:c r="F12" s="48">
        <x:v>30000</x:v>
      </x:c>
      <x:c r="G12" s="48"/>
      <x:c r="H12" s="48">
        <x:v>30000</x:v>
      </x:c>
      <x:c r="I12" s="48"/>
      <x:c r="J12" s="48">
        <x:v>55000</x:v>
      </x:c>
      <x:c r="K12" s="48">
        <x:v>30000</x:v>
      </x:c>
      <x:c r="L12" s="48"/>
      <x:c r="M12" s="48"/>
      <x:c r="N12" s="48">
        <x:v>30000</x:v>
      </x:c>
      <x:c r="O12" s="25"/>
      <x:c r="P12" s="16"/>
      <x:c r="Q12" s="16"/>
      <x:c r="R12" s="16"/>
      <x:c r="S12" s="15"/>
      <x:c r="T12" s="15"/>
      <x:c r="U12" s="15"/>
      <x:c r="V12" s="15"/>
      <x:c r="W12" s="15"/>
      <x:c r="X12" s="15"/>
      <x:c r="Y12" s="15"/>
      <x:c r="Z12" s="15"/>
      <x:c r="AA12" s="15"/>
      <x:c r="AB12" s="15"/>
    </x:row>
    <x:row r="13" spans="1:28">
      <x:c r="A13" s="22">
        <x:v>11</x:v>
      </x:c>
      <x:c r="B13" s="45" t="s">
        <x:v>16</x:v>
      </x:c>
      <x:c r="C13" s="48">
        <x:v>30000</x:v>
      </x:c>
      <x:c r="D13" s="48">
        <x:v>30000</x:v>
      </x:c>
      <x:c r="E13" s="62">
        <x:v>30000</x:v>
      </x:c>
      <x:c r="F13" s="48">
        <x:v>30000</x:v>
      </x:c>
      <x:c r="G13" s="63"/>
      <x:c r="H13" s="48">
        <x:v>60000</x:v>
      </x:c>
      <x:c r="I13" s="48">
        <x:v>55000</x:v>
      </x:c>
      <x:c r="J13" s="48">
        <x:v>55000</x:v>
      </x:c>
      <x:c r="K13" s="48">
        <x:v>30000</x:v>
      </x:c>
      <x:c r="L13" s="48"/>
      <x:c r="M13" s="48"/>
      <x:c r="N13" s="48">
        <x:v>30000</x:v>
      </x:c>
      <x:c r="O13" s="25" t="s">
        <x:v>1</x:v>
      </x:c>
      <x:c r="P13" s="16"/>
      <x:c r="Q13" s="16"/>
      <x:c r="R13" s="16"/>
      <x:c r="S13" s="15"/>
      <x:c r="T13" s="15"/>
      <x:c r="U13" s="15"/>
      <x:c r="V13" s="15"/>
      <x:c r="W13" s="15"/>
      <x:c r="X13" s="15"/>
      <x:c r="Y13" s="15"/>
      <x:c r="Z13" s="15"/>
      <x:c r="AA13" s="15"/>
      <x:c r="AB13" s="15"/>
    </x:row>
    <x:row r="14" spans="1:28">
      <x:c r="A14" s="22">
        <x:v>12</x:v>
      </x:c>
      <x:c r="B14" s="45" t="s">
        <x:v>14</x:v>
      </x:c>
      <x:c r="C14" s="48" t="s">
        <x:v>29</x:v>
      </x:c>
      <x:c r="D14" s="48" t="s">
        <x:v>29</x:v>
      </x:c>
      <x:c r="E14" s="62" t="s">
        <x:v>29</x:v>
      </x:c>
      <x:c r="F14" s="48">
        <x:v>30000</x:v>
      </x:c>
      <x:c r="G14" s="63"/>
      <x:c r="H14" s="48"/>
      <x:c r="I14" s="48"/>
      <x:c r="J14" s="48"/>
      <x:c r="K14" s="48"/>
      <x:c r="L14" s="48"/>
      <x:c r="M14" s="48"/>
      <x:c r="N14" s="48">
        <x:v>60000</x:v>
      </x:c>
      <x:c r="O14" s="25" t="s">
        <x:v>81</x:v>
      </x:c>
      <x:c r="P14" s="16"/>
      <x:c r="Q14" s="16"/>
      <x:c r="R14" s="16"/>
      <x:c r="S14" s="15"/>
      <x:c r="T14" s="15"/>
      <x:c r="U14" s="15"/>
      <x:c r="V14" s="15"/>
      <x:c r="W14" s="15"/>
      <x:c r="X14" s="15"/>
      <x:c r="Y14" s="15"/>
      <x:c r="Z14" s="15"/>
      <x:c r="AA14" s="15"/>
      <x:c r="AB14" s="15"/>
    </x:row>
    <x:row r="15" spans="1:28">
      <x:c r="A15" s="22">
        <x:v>13</x:v>
      </x:c>
      <x:c r="B15" s="45" t="s">
        <x:v>10</x:v>
      </x:c>
      <x:c r="C15" s="48">
        <x:v>30000</x:v>
      </x:c>
      <x:c r="D15" s="48">
        <x:v>30000</x:v>
      </x:c>
      <x:c r="E15" s="62" t="s">
        <x:v>29</x:v>
      </x:c>
      <x:c r="F15" s="48">
        <x:v>60000</x:v>
      </x:c>
      <x:c r="G15" s="63"/>
      <x:c r="H15" s="48"/>
      <x:c r="I15" s="48"/>
      <x:c r="J15" s="48"/>
      <x:c r="K15" s="48"/>
      <x:c r="L15" s="48"/>
      <x:c r="M15" s="48"/>
      <x:c r="N15" s="48">
        <x:v>60000</x:v>
      </x:c>
      <x:c r="O15" s="25"/>
      <x:c r="P15" s="16"/>
      <x:c r="Q15" s="16"/>
      <x:c r="R15" s="16"/>
      <x:c r="S15" s="15"/>
      <x:c r="T15" s="15"/>
      <x:c r="U15" s="15"/>
      <x:c r="V15" s="15"/>
      <x:c r="W15" s="15"/>
      <x:c r="X15" s="15"/>
      <x:c r="Y15" s="15"/>
      <x:c r="Z15" s="15"/>
      <x:c r="AA15" s="15"/>
      <x:c r="AB15" s="15"/>
    </x:row>
    <x:row r="16" spans="1:28">
      <x:c r="A16" s="22">
        <x:v>14</x:v>
      </x:c>
      <x:c r="B16" s="45" t="s">
        <x:v>15</x:v>
      </x:c>
      <x:c r="C16" s="48">
        <x:v>30000</x:v>
      </x:c>
      <x:c r="D16" s="48">
        <x:v>30000</x:v>
      </x:c>
      <x:c r="E16" s="62">
        <x:v>30000</x:v>
      </x:c>
      <x:c r="F16" s="48">
        <x:v>30000</x:v>
      </x:c>
      <x:c r="G16" s="63"/>
      <x:c r="H16" s="48" t="s">
        <x:v>29</x:v>
      </x:c>
      <x:c r="I16" s="48"/>
      <x:c r="J16" s="48"/>
      <x:c r="K16" s="48"/>
      <x:c r="L16" s="48"/>
      <x:c r="M16" s="48"/>
      <x:c r="N16" s="48">
        <x:v>60000</x:v>
      </x:c>
      <x:c r="O16" s="25"/>
      <x:c r="P16" s="16"/>
      <x:c r="Q16" s="16"/>
      <x:c r="R16" s="16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5"/>
    </x:row>
    <x:row r="17" spans="1:28" s="11" customFormat="1" ht="16.75">
      <x:c r="A17" s="23">
        <x:v>15</x:v>
      </x:c>
      <x:c r="B17" s="46" t="s">
        <x:v>6</x:v>
      </x:c>
      <x:c r="C17" s="48" t="s">
        <x:v>29</x:v>
      </x:c>
      <x:c r="D17" s="48" t="s">
        <x:v>29</x:v>
      </x:c>
      <x:c r="E17" s="55">
        <x:v>90000</x:v>
      </x:c>
      <x:c r="F17" s="49">
        <x:v>30000</x:v>
      </x:c>
      <x:c r="G17" s="63"/>
      <x:c r="H17" s="48">
        <x:v>30000</x:v>
      </x:c>
      <x:c r="I17" s="49"/>
      <x:c r="J17" s="49">
        <x:v>55000</x:v>
      </x:c>
      <x:c r="K17" s="49">
        <x:v>30000</x:v>
      </x:c>
      <x:c r="L17" s="49"/>
      <x:c r="M17" s="49"/>
      <x:c r="N17" s="49">
        <x:v>30000</x:v>
      </x:c>
      <x:c r="O17" s="47"/>
      <x:c r="P17" s="16"/>
      <x:c r="Q17" s="16"/>
      <x:c r="R17" s="16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15"/>
    </x:row>
    <x:row r="18" spans="1:28" s="10" customFormat="1" ht="17.149999999999999">
      <x:c r="A18" s="27">
        <x:v>16</x:v>
      </x:c>
      <x:c r="B18" s="46" t="s">
        <x:v>33</x:v>
      </x:c>
      <x:c r="C18" s="56"/>
      <x:c r="D18" s="57"/>
      <x:c r="E18" s="58"/>
      <x:c r="F18" s="49"/>
      <x:c r="G18" s="59">
        <x:f>95000+85500+110000+672</x:f>
        <x:v>291172</x:v>
      </x:c>
      <x:c r="H18" s="59"/>
      <x:c r="I18" s="50">
        <x:v>430000</x:v>
      </x:c>
      <x:c r="J18" s="50">
        <x:v>500000</x:v>
      </x:c>
      <x:c r="K18" s="50">
        <x:v>300000</x:v>
      </x:c>
      <x:c r="L18" s="50">
        <x:v>632000</x:v>
      </x:c>
      <x:c r="M18" s="50">
        <x:v>60000</x:v>
      </x:c>
      <x:c r="N18" s="49"/>
      <x:c r="O18" s="47"/>
      <x:c r="P18" s="16"/>
      <x:c r="Q18" s="16"/>
      <x:c r="R18" s="16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15"/>
    </x:row>
    <x:row r="19" spans="1:28" ht="17.149999999999999">
      <x:c r="A19" s="27">
        <x:v>17</x:v>
      </x:c>
      <x:c r="B19" s="46" t="s">
        <x:v>70</x:v>
      </x:c>
      <x:c r="C19" s="60">
        <x:v>337</x:v>
      </x:c>
      <x:c r="D19" s="43">
        <x:f>1281+10</x:f>
        <x:v>1291</x:v>
      </x:c>
      <x:c r="E19" s="61">
        <x:f>2022+26</x:f>
        <x:v>2048</x:v>
      </x:c>
      <x:c r="F19" s="57">
        <x:v>14</x:v>
      </x:c>
      <x:c r="G19" s="58"/>
      <x:c r="H19" s="58"/>
      <x:c r="I19" s="58"/>
      <x:c r="J19" s="58"/>
      <x:c r="K19" s="58"/>
      <x:c r="L19" s="58"/>
      <x:c r="M19" s="58"/>
      <x:c r="N19" s="57">
        <x:v>816</x:v>
      </x:c>
      <x:c r="O19" s="29"/>
      <x:c r="P19" s="16"/>
      <x:c r="Q19" s="16"/>
      <x:c r="R19" s="16"/>
      <x:c r="S19" s="15"/>
      <x:c r="T19" s="15"/>
      <x:c r="U19" s="15"/>
      <x:c r="V19" s="15"/>
      <x:c r="W19" s="15"/>
      <x:c r="X19" s="15"/>
      <x:c r="Y19" s="15"/>
      <x:c r="Z19" s="15"/>
      <x:c r="AA19" s="15"/>
      <x:c r="AB19" s="15"/>
    </x:row>
    <x:row r="20" spans="1:28" s="11" customFormat="1" ht="17.149999999999999">
      <x:c r="A20" s="27">
        <x:v>18</x:v>
      </x:c>
      <x:c r="B20" s="46" t="s">
        <x:v>7</x:v>
      </x:c>
      <x:c r="C20" s="60"/>
      <x:c r="D20" s="46"/>
      <x:c r="E20" s="61"/>
      <x:c r="F20" s="57">
        <x:v>650000</x:v>
      </x:c>
      <x:c r="G20" s="58"/>
      <x:c r="H20" s="58"/>
      <x:c r="I20" s="58"/>
      <x:c r="J20" s="58">
        <x:v>200000</x:v>
      </x:c>
      <x:c r="K20" s="58"/>
      <x:c r="L20" s="58"/>
      <x:c r="M20" s="58"/>
      <x:c r="N20" s="57"/>
      <x:c r="O20" s="29" t="s">
        <x:v>82</x:v>
      </x:c>
      <x:c r="P20" s="16"/>
      <x:c r="Q20" s="16"/>
      <x:c r="R20" s="16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15"/>
    </x:row>
    <x:row r="21" spans="1:28" ht="17.149999999999999">
      <x:c r="A21" s="27">
        <x:v>19</x:v>
      </x:c>
      <x:c r="B21" s="24" t="s">
        <x:v>58</x:v>
      </x:c>
      <x:c r="C21" s="26">
        <x:f>SUM(C3:C19)</x:f>
        <x:v>670337</x:v>
      </x:c>
      <x:c r="D21" s="32">
        <x:f>SUM(D3:D19)+C21</x:f>
        <x:v>1241628</x:v>
      </x:c>
      <x:c r="E21" s="32">
        <x:f t="shared" ref="E21:F21" si="0">SUM(E3:E19)+D21</x:f>
        <x:v>1573676</x:v>
      </x:c>
      <x:c r="F21" s="32">
        <x:f t="shared" si="0"/>
        <x:v>1993690</x:v>
      </x:c>
      <x:c r="G21" s="53">
        <x:f>F21-G18</x:f>
        <x:v>1702518</x:v>
      </x:c>
      <x:c r="H21" s="28">
        <x:f>G21+H19+H17+H13+H12+H11+H10+H8+H6</x:f>
        <x:v>1942518</x:v>
      </x:c>
      <x:c r="I21" s="28">
        <x:f>H21-I18+I13+I10+I8+I6+I4+I3</x:f>
        <x:v>1972518</x:v>
      </x:c>
      <x:c r="J21" s="28">
        <x:f>I21+J20-J18+J17+J13+J12+J11+J10+J8+J6+J5+J4+J3</x:f>
        <x:v>2277518</x:v>
      </x:c>
      <x:c r="K21" s="28">
        <x:f>J21+K4+K6+K7+K8+K10+K11+K12+K13+K17-K18</x:f>
        <x:v>2247518</x:v>
      </x:c>
      <x:c r="L21" s="28">
        <x:f>K21-L18</x:f>
        <x:v>1615518</x:v>
      </x:c>
      <x:c r="M21" s="28">
        <x:f>L21-M18</x:f>
        <x:v>1555518</x:v>
      </x:c>
      <x:c r="N21" s="30">
        <x:f>M21+N3+N10+N13+N17+N19</x:f>
        <x:v>1706334</x:v>
      </x:c>
      <x:c r="O21" s="20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15"/>
    </x:row>
    <x:row r="22" spans="3:29">
      <x:c r="C22" s="15"/>
      <x:c r="D22" s="15"/>
      <x:c r="F22" s="16"/>
      <x:c r="G22" s="16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  <x:c r="AA22" s="15"/>
      <x:c r="AB22" s="15"/>
      <x:c r="AC22" s="15"/>
    </x:row>
    <x:row r="23" spans="2:28">
      <x:c r="B23" s="15"/>
      <x:c r="C23" s="15"/>
      <x:c r="D23" s="15"/>
      <x:c r="E23" s="15"/>
      <x:c r="F23" s="16"/>
      <x:c r="G23" s="16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15"/>
    </x:row>
    <x:row r="24" spans="2:28">
      <x:c r="B24" s="15"/>
      <x:c r="C24" s="16"/>
      <x:c r="D24" s="15"/>
      <x:c r="E24" s="15"/>
      <x:c r="F24" s="16"/>
      <x:c r="G24" s="16"/>
      <x:c r="H24" s="15"/>
      <x:c r="I24" s="54"/>
      <x:c r="J24" s="15"/>
      <x:c r="K24" s="15"/>
      <x:c r="L24" s="15"/>
      <x:c r="M24" s="15"/>
      <x:c r="N24" s="16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  <x:c r="AA24" s="15"/>
      <x:c r="AB24" s="15"/>
    </x:row>
    <x:row r="25" spans="2:28">
      <x:c r="B25" s="15"/>
      <x:c r="C25" s="15"/>
      <x:c r="D25" s="15"/>
      <x:c r="E25" s="15"/>
      <x:c r="F25" s="16"/>
      <x:c r="G25" s="16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15"/>
    </x:row>
    <x:row r="26" spans="2:28"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5"/>
      <x:c r="AB26" s="15"/>
    </x:row>
    <x:row r="27" spans="2:28"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15"/>
    </x:row>
    <x:row r="28" spans="2:28">
      <x:c r="B28" s="15"/>
      <x:c r="C28" s="15"/>
      <x:c r="D28" s="15"/>
      <x:c r="E28" s="15"/>
      <x:c r="F28" s="15"/>
      <x:c r="G28" s="15"/>
      <x:c r="H28" s="15"/>
      <x:c r="I28" s="15"/>
      <x:c r="J28" s="15"/>
      <x:c r="K28" s="16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15"/>
    </x:row>
    <x:row r="29" spans="2:28"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5"/>
      <x:c r="AB29" s="15"/>
    </x:row>
    <x:row r="30" spans="2:28"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15"/>
    </x:row>
    <x:row r="31" spans="2:28"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15"/>
    </x:row>
    <x:row r="32" spans="2:28"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5"/>
      <x:c r="AB32" s="15"/>
    </x:row>
    <x:row r="33" spans="2:28"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  <x:c r="AA33" s="15"/>
      <x:c r="AB33" s="15"/>
    </x:row>
    <x:row r="34" spans="2:28"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  <x:c r="AA34" s="15"/>
      <x:c r="AB34" s="15"/>
    </x:row>
    <x:row r="35" spans="2:28"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15"/>
    </x:row>
    <x:row r="36" spans="2:28"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15"/>
    </x:row>
    <x:row r="37" spans="2:28"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15"/>
    </x:row>
    <x:row r="38" spans="2:28"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  <x:c r="AA38" s="15"/>
      <x:c r="AB38" s="15"/>
    </x:row>
    <x:row r="39" spans="2:28"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</x:row>
    <x:row r="40" spans="2:28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</x:row>
    <x:row r="41" spans="2:28"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15"/>
    </x:row>
    <x:row r="42" spans="2:28"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  <x:c r="AA42" s="15"/>
      <x:c r="AB42" s="15"/>
    </x:row>
    <x:row r="43" spans="2:28"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5"/>
      <x:c r="AB43" s="15"/>
    </x:row>
    <x:row r="44" spans="2:28"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</x:row>
    <x:row r="45" spans="2:28"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</x:row>
    <x:row r="46" spans="2:28"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15"/>
    </x:row>
    <x:row r="47" spans="2:28"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</x:row>
    <x:row r="48" spans="2:28"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</x:row>
    <x:row r="49" spans="2:28"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15"/>
    </x:row>
    <x:row r="50" spans="2:28"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15"/>
    </x:row>
    <x:row r="51" spans="2:28"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5"/>
    </x:row>
    <x:row r="52" spans="2:28"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</x:row>
    <x:row r="53" spans="2:28"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</x:row>
    <x:row r="54" spans="2:28"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5"/>
    </x:row>
    <x:row r="55" spans="2:28"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</x:row>
    <x:row r="56" spans="2:28">
      <x:c r="B56" s="15"/>
      <x:c r="C56" s="15"/>
      <x:c r="D56" s="15"/>
      <x:c r="E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15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E12"/>
  <x:sheetViews>
    <x:sheetView topLeftCell="A1" zoomScaleNormal="100" zoomScaleSheetLayoutView="75" workbookViewId="0">
      <x:selection activeCell="M23" activeCellId="0" sqref="M23:M23"/>
    </x:sheetView>
  </x:sheetViews>
  <x:sheetFormatPr defaultColWidth="9.00390625" defaultRowHeight="16.399999999999999"/>
  <x:cols>
    <x:col min="5" max="5" width="9.00390625" style="12" bestFit="1" customWidth="1"/>
  </x:cols>
  <x:sheetData>
    <x:row r="2" spans="2:2">
      <x:c r="B2" s="12" t="s">
        <x:v>75</x:v>
      </x:c>
    </x:row>
    <x:row r="3" spans="2:5" ht="17.149999999999999">
      <x:c r="B3" s="24" t="s">
        <x:v>53</x:v>
      </x:c>
      <x:c r="C3" s="18" t="s">
        <x:v>62</x:v>
      </x:c>
      <x:c r="D3" s="20"/>
      <x:c r="E3" s="33">
        <x:v>120000</x:v>
      </x:c>
    </x:row>
    <x:row r="4" spans="2:5" ht="16.75">
      <x:c r="B4" s="105" t="s">
        <x:v>38</x:v>
      </x:c>
      <x:c r="C4" s="36" t="s">
        <x:v>76</x:v>
      </x:c>
      <x:c r="D4" s="37"/>
      <x:c r="E4" s="108">
        <x:v>35970</x:v>
      </x:c>
    </x:row>
    <x:row r="5" spans="2:5">
      <x:c r="B5" s="106"/>
      <x:c r="C5" s="38" t="s">
        <x:v>77</x:v>
      </x:c>
      <x:c r="D5" s="39"/>
      <x:c r="E5" s="109"/>
    </x:row>
    <x:row r="6" spans="2:5">
      <x:c r="B6" s="106"/>
      <x:c r="C6" s="38" t="s">
        <x:v>79</x:v>
      </x:c>
      <x:c r="D6" s="39"/>
      <x:c r="E6" s="109"/>
    </x:row>
    <x:row r="7" spans="2:5">
      <x:c r="B7" s="106"/>
      <x:c r="C7" s="38" t="s">
        <x:v>80</x:v>
      </x:c>
      <x:c r="D7" s="39"/>
      <x:c r="E7" s="109"/>
    </x:row>
    <x:row r="8" spans="2:5" ht="16.75">
      <x:c r="B8" s="107"/>
      <x:c r="C8" s="17" t="s">
        <x:v>61</x:v>
      </x:c>
      <x:c r="D8" s="40"/>
      <x:c r="E8" s="110"/>
    </x:row>
    <x:row r="9" spans="2:5" ht="16.75">
      <x:c r="B9" s="105" t="s">
        <x:v>66</x:v>
      </x:c>
      <x:c r="C9" s="36" t="s">
        <x:v>67</x:v>
      </x:c>
      <x:c r="D9" s="37" t="s">
        <x:v>23</x:v>
      </x:c>
      <x:c r="E9" s="108">
        <x:v>45000</x:v>
      </x:c>
    </x:row>
    <x:row r="10" spans="2:5" ht="16.75">
      <x:c r="B10" s="107"/>
      <x:c r="C10" s="17" t="s">
        <x:v>49</x:v>
      </x:c>
      <x:c r="D10" s="40" t="s">
        <x:v>23</x:v>
      </x:c>
      <x:c r="E10" s="110"/>
    </x:row>
    <x:row r="11" spans="2:5" ht="17.149999999999999">
      <x:c r="B11" s="35" t="s">
        <x:v>34</x:v>
      </x:c>
      <x:c r="C11" s="41"/>
      <x:c r="D11" s="42"/>
      <x:c r="E11" s="43">
        <x:f>E3-E4-E9</x:f>
        <x:v>39030</x:v>
      </x:c>
    </x:row>
    <x:row r="12" spans="2:5" ht="17.149999999999999">
      <x:c r="B12" s="24" t="s">
        <x:v>31</x:v>
      </x:c>
      <x:c r="C12" s="41"/>
      <x:c r="D12" s="42"/>
      <x:c r="E12" s="34" t="s">
        <x:v>64</x:v>
      </x:c>
    </x:row>
  </x:sheetData>
  <x:mergeCells count="4">
    <x:mergeCell ref="B4:B8"/>
    <x:mergeCell ref="B9:B10"/>
    <x:mergeCell ref="E4:E8"/>
    <x:mergeCell ref="E9:E10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C3:H31"/>
  <x:sheetViews>
    <x:sheetView topLeftCell="A1" zoomScaleNormal="100" zoomScaleSheetLayoutView="75" workbookViewId="0">
      <x:selection activeCell="D13" activeCellId="0" sqref="D13:D13"/>
    </x:sheetView>
  </x:sheetViews>
  <x:sheetFormatPr defaultColWidth="9.00390625" defaultRowHeight="16.399999999999999"/>
  <x:cols>
    <x:col min="4" max="5" width="9.00390625" style="4" bestFit="1" customWidth="1"/>
  </x:cols>
  <x:sheetData>
    <x:row r="3" spans="3:4">
      <x:c r="C3" s="4" t="s">
        <x:v>3</x:v>
      </x:c>
      <x:c r="D3" s="4">
        <x:v>0</x:v>
      </x:c>
    </x:row>
    <x:row r="4" spans="3:4">
      <x:c r="C4" s="4" t="s">
        <x:v>16</x:v>
      </x:c>
      <x:c r="D4" s="4">
        <x:v>0</x:v>
      </x:c>
    </x:row>
    <x:row r="5" spans="3:4">
      <x:c r="C5" s="4" t="s">
        <x:v>5</x:v>
      </x:c>
      <x:c r="D5" s="4">
        <x:v>0</x:v>
      </x:c>
    </x:row>
    <x:row r="6" spans="3:4">
      <x:c r="C6" s="4" t="s">
        <x:v>6</x:v>
      </x:c>
      <x:c r="D6" s="4">
        <x:v>0</x:v>
      </x:c>
    </x:row>
    <x:row r="7" spans="3:4">
      <x:c r="C7" s="4" t="s">
        <x:v>12</x:v>
      </x:c>
      <x:c r="D7" s="4">
        <x:v>0</x:v>
      </x:c>
    </x:row>
    <x:row r="8" spans="3:4">
      <x:c r="C8" s="4" t="s">
        <x:v>9</x:v>
      </x:c>
      <x:c r="D8" s="4">
        <x:v>0</x:v>
      </x:c>
    </x:row>
    <x:row r="9" spans="3:4">
      <x:c r="C9" s="4" t="s">
        <x:v>13</x:v>
      </x:c>
      <x:c r="D9" s="4">
        <x:v>0</x:v>
      </x:c>
    </x:row>
    <x:row r="10" spans="3:4">
      <x:c r="C10" s="4" t="s">
        <x:v>8</x:v>
      </x:c>
      <x:c r="D10" s="4">
        <x:v>0</x:v>
      </x:c>
    </x:row>
    <x:row r="11" spans="3:4">
      <x:c r="C11" s="4" t="s">
        <x:v>17</x:v>
      </x:c>
      <x:c r="D11" s="4">
        <x:v>0</x:v>
      </x:c>
    </x:row>
    <x:row r="13" spans="3:4">
      <x:c r="C13" s="4" t="s">
        <x:v>18</x:v>
      </x:c>
      <x:c r="D13" s="4" t="s">
        <x:v>60</x:v>
      </x:c>
    </x:row>
    <x:row r="26" spans="4:5">
      <x:c r="D26" s="4" t="s">
        <x:v>30</x:v>
      </x:c>
      <x:c r="E26" s="4">
        <x:v>500000</x:v>
      </x:c>
    </x:row>
    <x:row r="27" spans="4:6">
      <x:c r="D27" s="4" t="s">
        <x:v>69</x:v>
      </x:c>
      <x:c r="E27" s="4">
        <x:v>50000</x:v>
      </x:c>
      <x:c r="F27" s="4" t="s">
        <x:v>14</x:v>
      </x:c>
    </x:row>
    <x:row r="28" spans="5:6">
      <x:c r="E28" s="4">
        <x:v>100000</x:v>
      </x:c>
      <x:c r="F28" s="4" t="s">
        <x:v>8</x:v>
      </x:c>
    </x:row>
    <x:row r="29" spans="5:8">
      <x:c r="E29" s="4">
        <x:v>100000</x:v>
      </x:c>
      <x:c r="F29" s="4" t="s">
        <x:v>12</x:v>
      </x:c>
      <x:c r="G29" s="4" t="s">
        <x:v>65</x:v>
      </x:c>
      <x:c r="H29" s="4" t="s">
        <x:v>52</x:v>
      </x:c>
    </x:row>
    <x:row r="31" spans="5:5">
      <x:c r="E31" s="4" t="s">
        <x:v>84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B3:F5"/>
  <x:sheetViews>
    <x:sheetView topLeftCell="A1" zoomScaleNormal="100" zoomScaleSheetLayoutView="75" workbookViewId="0">
      <x:selection activeCell="D5" activeCellId="0" sqref="D5:D5"/>
    </x:sheetView>
  </x:sheetViews>
  <x:sheetFormatPr defaultColWidth="9.00390625" defaultRowHeight="16.399999999999999"/>
  <x:cols>
    <x:col min="4" max="4" width="9.00390625" style="2" bestFit="1" customWidth="1"/>
  </x:cols>
  <x:sheetData>
    <x:row r="3" spans="2:6" ht="33.5">
      <x:c r="B3" s="85" t="s">
        <x:v>11</x:v>
      </x:c>
      <x:c r="C3" s="85" t="s">
        <x:v>63</x:v>
      </x:c>
      <x:c r="D3" s="85" t="s">
        <x:v>27</x:v>
      </x:c>
      <x:c r="E3" s="85" t="s">
        <x:v>20</x:v>
      </x:c>
      <x:c r="F3" s="85" t="s">
        <x:v>51</x:v>
      </x:c>
    </x:row>
    <x:row r="4" spans="2:6" ht="17.149999999999999">
      <x:c r="B4" s="86" t="s">
        <x:v>26</x:v>
      </x:c>
      <x:c r="C4" s="87">
        <x:v>50000</x:v>
      </x:c>
      <x:c r="D4" s="87">
        <x:v>24000</x:v>
      </x:c>
      <x:c r="E4" s="86">
        <x:v>0</x:v>
      </x:c>
      <x:c r="F4" s="86" t="s">
        <x:v>40</x:v>
      </x:c>
    </x:row>
    <x:row r="5" spans="2:6" ht="17.149999999999999">
      <x:c r="B5" s="86" t="s">
        <x:v>25</x:v>
      </x:c>
      <x:c r="C5" s="87">
        <x:v>50000</x:v>
      </x:c>
      <x:c r="D5" s="87">
        <x:v>20000</x:v>
      </x:c>
      <x:c r="E5" s="87">
        <x:v>30000</x:v>
      </x:c>
      <x:c r="F5" s="86" t="s">
        <x:v>55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2026</vt:lpstr>
      <vt:lpstr>2025</vt:lpstr>
      <vt:lpstr>2024</vt:lpstr>
      <vt:lpstr>24.08.30갈치</vt:lpstr>
      <vt:lpstr>25.09.27 문어대회</vt:lpstr>
      <vt:lpstr>Sheet2</vt:lpstr>
    </vt:vector>
  </ep:TitlesOfParts>
  <ep:TotalTime>449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정하명</dc:creator>
  <cp:lastModifiedBy>myong</cp:lastModifiedBy>
  <cp:revision>55</cp:revision>
  <dcterms:created xsi:type="dcterms:W3CDTF">2024-08-02T02:52:29.000</dcterms:created>
  <dcterms:modified xsi:type="dcterms:W3CDTF">2026-04-25T05:07:03.510</dcterms:modified>
  <cp:version>1100.0100.01</cp:version>
</cp:coreProperties>
</file>